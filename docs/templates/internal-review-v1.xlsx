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" sheetId="1" state="visible" r:id="rId1"/>
    <sheet name="Goods" sheetId="2" state="visible" r:id="rId2"/>
    <sheet name="Containers" sheetId="3" state="visible" r:id="rId3"/>
    <sheet name="Evidence" sheetId="4" state="visible" r:id="rId4"/>
    <sheet name="Decisions" sheetId="5" state="visible" r:id="rId5"/>
  </sheets>
  <definedNames>
    <definedName name="_xlnm.Print_Titles" localSheetId="0">'Shipment'!$1:$5</definedName>
    <definedName name="_xlnm.Print_Area" localSheetId="0">'Shipment'!$A$1:$D$56</definedName>
    <definedName name="_xlnm._FilterDatabase" localSheetId="1" hidden="1">'Goods'!$A$5:$O$105</definedName>
    <definedName name="_xlnm.Print_Titles" localSheetId="1">'Goods'!$1:$5</definedName>
    <definedName name="_xlnm.Print_Area" localSheetId="1">'Goods'!$A$1:$O$105</definedName>
    <definedName name="_xlnm._FilterDatabase" localSheetId="2" hidden="1">'Containers'!$A$5:$F$55</definedName>
    <definedName name="_xlnm.Print_Titles" localSheetId="2">'Containers'!$1:$5</definedName>
    <definedName name="_xlnm.Print_Area" localSheetId="2">'Containers'!$A$1:$F$55</definedName>
    <definedName name="_xlnm._FilterDatabase" localSheetId="3" hidden="1">'Evidence'!$A$5:$K$1005</definedName>
    <definedName name="_xlnm.Print_Titles" localSheetId="3">'Evidence'!$1:$5</definedName>
    <definedName name="_xlnm.Print_Area" localSheetId="3">'Evidence'!$A$1:$K$1005</definedName>
    <definedName name="_xlnm._FilterDatabase" localSheetId="4" hidden="1">'Decisions'!$A$5:$M$205</definedName>
    <definedName name="_xlnm.Print_Titles" localSheetId="4">'Decisions'!$1:$5</definedName>
    <definedName name="_xlnm.Print_Area" localSheetId="4">'Decisions'!$A$1:$M$205</definedName>
  </definedNames>
  <calcPr calcId="0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######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647681"/>
      <sz val="10"/>
    </font>
    <font>
      <name val="Calibri"/>
      <color rgb="00647681"/>
      <sz val="9"/>
    </font>
    <font>
      <name val="Calibri"/>
      <b val="1"/>
      <color rgb="00FFFFFF"/>
      <sz val="10"/>
    </font>
    <font>
      <name val="Calibri"/>
      <color rgb="00173847"/>
      <sz val="10"/>
    </font>
  </fonts>
  <fills count="6">
    <fill>
      <patternFill/>
    </fill>
    <fill>
      <patternFill patternType="gray125"/>
    </fill>
    <fill>
      <patternFill patternType="solid">
        <fgColor rgb="00173847"/>
      </patternFill>
    </fill>
    <fill>
      <patternFill patternType="solid">
        <fgColor rgb="00247A76"/>
      </patternFill>
    </fill>
    <fill>
      <patternFill patternType="solid">
        <fgColor rgb="00F5F8F9"/>
      </patternFill>
    </fill>
    <fill>
      <patternFill patternType="solid">
        <fgColor rgb="00EDF5F4"/>
      </patternFill>
    </fill>
  </fills>
  <borders count="2">
    <border>
      <left/>
      <right/>
      <top/>
      <bottom/>
      <diagonal/>
    </border>
    <border>
      <bottom style="hair">
        <color rgb="00D6E2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  <xf numFmtId="49" fontId="5" fillId="4" borderId="1" applyAlignment="1" applyProtection="1" pivotButton="0" quotePrefix="0" xfId="0">
      <alignment vertical="top" wrapText="1"/>
      <protection locked="0" hidden="0"/>
    </xf>
    <xf numFmtId="49" fontId="5" fillId="0" borderId="1" applyAlignment="1" applyProtection="1" pivotButton="0" quotePrefix="0" xfId="0">
      <alignment vertical="top" wrapText="1"/>
      <protection locked="0" hidden="0"/>
    </xf>
    <xf numFmtId="1" fontId="5" fillId="0" borderId="1" applyAlignment="1" applyProtection="1" pivotButton="0" quotePrefix="0" xfId="0">
      <alignment vertical="top" wrapText="1"/>
      <protection locked="0" hidden="0"/>
    </xf>
    <xf numFmtId="164" fontId="5" fillId="0" borderId="1" applyAlignment="1" applyProtection="1" pivotButton="0" quotePrefix="0" xfId="0">
      <alignment vertical="top" wrapText="1"/>
      <protection locked="0" hidden="0"/>
    </xf>
    <xf numFmtId="1" fontId="5" fillId="4" borderId="1" applyAlignment="1" applyProtection="1" pivotButton="0" quotePrefix="0" xfId="0">
      <alignment vertical="top" wrapText="1"/>
      <protection locked="0" hidden="0"/>
    </xf>
    <xf numFmtId="165" fontId="5" fillId="0" borderId="1" applyAlignment="1" applyProtection="1" pivotButton="0" quotePrefix="0" xfId="0">
      <alignment vertical="top" wrapText="1"/>
      <protection locked="0" hidden="0"/>
    </xf>
    <xf numFmtId="165" fontId="5" fillId="4" borderId="1" applyAlignment="1" applyProtection="1" pivotButton="0" quotePrefix="0" xfId="0">
      <alignment vertical="top" wrapText="1"/>
      <protection locked="0" hidden="0"/>
    </xf>
    <xf numFmtId="165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2" customWidth="1" min="3" max="3"/>
    <col width="65" customWidth="1" min="4" max="4"/>
  </cols>
  <sheetData>
    <row r="1" ht="38" customHeight="1">
      <c r="A1" s="1" t="inlineStr">
        <is>
          <t>PRECHECK  /  SHIPMENT</t>
        </is>
      </c>
    </row>
    <row r="2" ht="25" customHeight="1">
      <c r="A2" s="2" t="inlineStr">
        <is>
          <t>Internal reconciliation · blank template · not a customs declaration</t>
        </is>
      </c>
    </row>
    <row r="3">
      <c r="A3" s="3" t="inlineStr">
        <is>
          <t>Template internal-review-v1  |  Mapping internal-review-map-v1  |  Policy business-v1</t>
        </is>
      </c>
    </row>
    <row r="5" ht="32" customHeight="1">
      <c r="A5" s="4" t="inlineStr">
        <is>
          <t>Section</t>
        </is>
      </c>
      <c r="B5" s="4" t="inlineStr">
        <is>
          <t>Field</t>
        </is>
      </c>
      <c r="C5" s="4" t="inlineStr">
        <is>
          <t>Requirement</t>
        </is>
      </c>
      <c r="D5" s="4" t="inlineStr">
        <is>
          <t>Selected value</t>
        </is>
      </c>
    </row>
    <row r="6" ht="30" customHeight="1">
      <c r="A6" s="5" t="inlineStr">
        <is>
          <t>Selected record</t>
        </is>
      </c>
      <c r="B6" s="5" t="inlineStr">
        <is>
          <t>Case reference</t>
        </is>
      </c>
      <c r="C6" s="5" t="inlineStr">
        <is>
          <t>required</t>
        </is>
      </c>
      <c r="D6" s="5" t="n"/>
    </row>
    <row r="7" ht="30" customHeight="1">
      <c r="A7" s="6" t="inlineStr">
        <is>
          <t>Selected record</t>
        </is>
      </c>
      <c r="B7" s="6" t="inlineStr">
        <is>
          <t>Case revision</t>
        </is>
      </c>
      <c r="C7" s="6" t="inlineStr">
        <is>
          <t>required</t>
        </is>
      </c>
      <c r="D7" s="7" t="n"/>
    </row>
    <row r="8" ht="30" customHeight="1">
      <c r="A8" s="5" t="inlineStr">
        <is>
          <t>Selected record</t>
        </is>
      </c>
      <c r="B8" s="5" t="inlineStr">
        <is>
          <t>Business profile version</t>
        </is>
      </c>
      <c r="C8" s="5" t="inlineStr">
        <is>
          <t>required</t>
        </is>
      </c>
      <c r="D8" s="5" t="n"/>
    </row>
    <row r="9" ht="30" customHeight="1">
      <c r="A9" s="6" t="inlineStr">
        <is>
          <t>Selected record</t>
        </is>
      </c>
      <c r="B9" s="6" t="inlineStr">
        <is>
          <t>Rule version</t>
        </is>
      </c>
      <c r="C9" s="6" t="inlineStr">
        <is>
          <t>required</t>
        </is>
      </c>
      <c r="D9" s="6" t="n"/>
    </row>
    <row r="10" ht="30" customHeight="1">
      <c r="A10" s="5" t="inlineStr">
        <is>
          <t>Selected record</t>
        </is>
      </c>
      <c r="B10" s="5" t="inlineStr">
        <is>
          <t>Procedure reference</t>
        </is>
      </c>
      <c r="C10" s="5" t="inlineStr">
        <is>
          <t>required</t>
        </is>
      </c>
      <c r="D10" s="5" t="n"/>
    </row>
    <row r="11" ht="30" customHeight="1">
      <c r="A11" s="6" t="inlineStr">
        <is>
          <t>Selected record</t>
        </is>
      </c>
      <c r="B11" s="6" t="inlineStr">
        <is>
          <t>Preparation stage</t>
        </is>
      </c>
      <c r="C11" s="6" t="inlineStr">
        <is>
          <t>required</t>
        </is>
      </c>
      <c r="D11" s="6" t="n"/>
    </row>
    <row r="12" ht="30" customHeight="1">
      <c r="A12" s="5" t="inlineStr">
        <is>
          <t>Selected record</t>
        </is>
      </c>
      <c r="B12" s="5" t="inlineStr">
        <is>
          <t>Transport mode</t>
        </is>
      </c>
      <c r="C12" s="5" t="inlineStr">
        <is>
          <t>required</t>
        </is>
      </c>
      <c r="D12" s="5" t="n"/>
    </row>
    <row r="13" ht="30" customHeight="1">
      <c r="A13" s="6" t="inlineStr">
        <is>
          <t>Selected record</t>
        </is>
      </c>
      <c r="B13" s="6" t="inlineStr">
        <is>
          <t>Containerized status</t>
        </is>
      </c>
      <c r="C13" s="6" t="inlineStr">
        <is>
          <t>required</t>
        </is>
      </c>
      <c r="D13" s="6" t="n"/>
    </row>
    <row r="14" ht="30" customHeight="1">
      <c r="A14" s="5" t="inlineStr">
        <is>
          <t>Selected record</t>
        </is>
      </c>
      <c r="B14" s="5" t="inlineStr">
        <is>
          <t>Invoice number</t>
        </is>
      </c>
      <c r="C14" s="5" t="inlineStr">
        <is>
          <t>required</t>
        </is>
      </c>
      <c r="D14" s="5" t="n"/>
    </row>
    <row r="15" ht="30" customHeight="1">
      <c r="A15" s="6" t="inlineStr">
        <is>
          <t>Selected record</t>
        </is>
      </c>
      <c r="B15" s="6" t="inlineStr">
        <is>
          <t>Invoice date</t>
        </is>
      </c>
      <c r="C15" s="6" t="inlineStr">
        <is>
          <t>required</t>
        </is>
      </c>
      <c r="D15" s="8" t="n"/>
    </row>
    <row r="16" ht="30" customHeight="1">
      <c r="A16" s="5" t="inlineStr">
        <is>
          <t>Selected record</t>
        </is>
      </c>
      <c r="B16" s="5" t="inlineStr">
        <is>
          <t>Seller name</t>
        </is>
      </c>
      <c r="C16" s="5" t="inlineStr">
        <is>
          <t>required</t>
        </is>
      </c>
      <c r="D16" s="5" t="n"/>
    </row>
    <row r="17" ht="30" customHeight="1">
      <c r="A17" s="6" t="inlineStr">
        <is>
          <t>Selected record</t>
        </is>
      </c>
      <c r="B17" s="6" t="inlineStr">
        <is>
          <t>Seller address</t>
        </is>
      </c>
      <c r="C17" s="6" t="inlineStr">
        <is>
          <t>required</t>
        </is>
      </c>
      <c r="D17" s="6" t="n"/>
    </row>
    <row r="18" ht="30" customHeight="1">
      <c r="A18" s="5" t="inlineStr">
        <is>
          <t>Selected record</t>
        </is>
      </c>
      <c r="B18" s="5" t="inlineStr">
        <is>
          <t>Buyer name</t>
        </is>
      </c>
      <c r="C18" s="5" t="inlineStr">
        <is>
          <t>required</t>
        </is>
      </c>
      <c r="D18" s="5" t="n"/>
    </row>
    <row r="19" ht="30" customHeight="1">
      <c r="A19" s="6" t="inlineStr">
        <is>
          <t>Selected record</t>
        </is>
      </c>
      <c r="B19" s="6" t="inlineStr">
        <is>
          <t>Buyer address</t>
        </is>
      </c>
      <c r="C19" s="6" t="inlineStr">
        <is>
          <t>required</t>
        </is>
      </c>
      <c r="D19" s="6" t="n"/>
    </row>
    <row r="20" ht="30" customHeight="1">
      <c r="A20" s="5" t="inlineStr">
        <is>
          <t>Selected record</t>
        </is>
      </c>
      <c r="B20" s="5" t="inlineStr">
        <is>
          <t>Domestic importer tax identifier</t>
        </is>
      </c>
      <c r="C20" s="5" t="inlineStr">
        <is>
          <t>required</t>
        </is>
      </c>
      <c r="D20" s="5" t="n"/>
    </row>
    <row r="21" ht="30" customHeight="1">
      <c r="A21" s="6" t="inlineStr">
        <is>
          <t>Selected record</t>
        </is>
      </c>
      <c r="B21" s="6" t="inlineStr">
        <is>
          <t>Invoice currency</t>
        </is>
      </c>
      <c r="C21" s="6" t="inlineStr">
        <is>
          <t>required</t>
        </is>
      </c>
      <c r="D21" s="6" t="n"/>
    </row>
    <row r="22" ht="30" customHeight="1">
      <c r="A22" s="5" t="inlineStr">
        <is>
          <t>Selected record</t>
        </is>
      </c>
      <c r="B22" s="5" t="inlineStr">
        <is>
          <t>Currency decimal places</t>
        </is>
      </c>
      <c r="C22" s="5" t="inlineStr">
        <is>
          <t>required</t>
        </is>
      </c>
      <c r="D22" s="9" t="n"/>
    </row>
    <row r="23" ht="30" customHeight="1">
      <c r="A23" s="6" t="inlineStr">
        <is>
          <t>Selected record</t>
        </is>
      </c>
      <c r="B23" s="6" t="inlineStr">
        <is>
          <t>Stated goods subtotal</t>
        </is>
      </c>
      <c r="C23" s="6" t="inlineStr">
        <is>
          <t>required</t>
        </is>
      </c>
      <c r="D23" s="10" t="n"/>
    </row>
    <row r="24" ht="30" customHeight="1">
      <c r="A24" s="5" t="inlineStr">
        <is>
          <t>Selected record</t>
        </is>
      </c>
      <c r="B24" s="5" t="inlineStr">
        <is>
          <t>Evidenced signed adjustments</t>
        </is>
      </c>
      <c r="C24" s="5" t="inlineStr">
        <is>
          <t>required</t>
        </is>
      </c>
      <c r="D24" s="11" t="n"/>
    </row>
    <row r="25" ht="30" customHeight="1">
      <c r="A25" s="6" t="inlineStr">
        <is>
          <t>Selected record</t>
        </is>
      </c>
      <c r="B25" s="6" t="inlineStr">
        <is>
          <t>Stated invoice payable total</t>
        </is>
      </c>
      <c r="C25" s="6" t="inlineStr">
        <is>
          <t>required</t>
        </is>
      </c>
      <c r="D25" s="10" t="n"/>
    </row>
    <row r="26" ht="30" customHeight="1">
      <c r="A26" s="5" t="inlineStr">
        <is>
          <t>Selected record</t>
        </is>
      </c>
      <c r="B26" s="5" t="inlineStr">
        <is>
          <t>B/L or Sea Waybill reference</t>
        </is>
      </c>
      <c r="C26" s="5" t="inlineStr">
        <is>
          <t>required</t>
        </is>
      </c>
      <c r="D26" s="5" t="n"/>
    </row>
    <row r="27" ht="30" customHeight="1">
      <c r="A27" s="6" t="inlineStr">
        <is>
          <t>Selected record</t>
        </is>
      </c>
      <c r="B27" s="6" t="inlineStr">
        <is>
          <t>Shipped transport leg</t>
        </is>
      </c>
      <c r="C27" s="6" t="inlineStr">
        <is>
          <t>required</t>
        </is>
      </c>
      <c r="D27" s="6" t="n"/>
    </row>
    <row r="28" ht="30" customHeight="1">
      <c r="A28" s="5" t="inlineStr">
        <is>
          <t>Selected record</t>
        </is>
      </c>
      <c r="B28" s="5" t="inlineStr">
        <is>
          <t>Loading port</t>
        </is>
      </c>
      <c r="C28" s="5" t="inlineStr">
        <is>
          <t>required</t>
        </is>
      </c>
      <c r="D28" s="5" t="n"/>
    </row>
    <row r="29" ht="30" customHeight="1">
      <c r="A29" s="6" t="inlineStr">
        <is>
          <t>Selected record</t>
        </is>
      </c>
      <c r="B29" s="6" t="inlineStr">
        <is>
          <t>Intended discharge port</t>
        </is>
      </c>
      <c r="C29" s="6" t="inlineStr">
        <is>
          <t>required</t>
        </is>
      </c>
      <c r="D29" s="6" t="n"/>
    </row>
    <row r="30" ht="30" customHeight="1">
      <c r="A30" s="5" t="inlineStr">
        <is>
          <t>Selected record</t>
        </is>
      </c>
      <c r="B30" s="5" t="inlineStr">
        <is>
          <t>Shipped vessel and voyage</t>
        </is>
      </c>
      <c r="C30" s="5" t="inlineStr">
        <is>
          <t>required</t>
        </is>
      </c>
      <c r="D30" s="5" t="n"/>
    </row>
    <row r="31" ht="30" customHeight="1">
      <c r="A31" s="6" t="inlineStr">
        <is>
          <t>Selected record</t>
        </is>
      </c>
      <c r="B31" s="6" t="inlineStr">
        <is>
          <t>Arrival vessel and voyage</t>
        </is>
      </c>
      <c r="C31" s="6" t="inlineStr">
        <is>
          <t>arrival_confirmed</t>
        </is>
      </c>
      <c r="D31" s="6" t="n"/>
    </row>
    <row r="32" ht="30" customHeight="1">
      <c r="A32" s="5" t="inlineStr">
        <is>
          <t>Selected record</t>
        </is>
      </c>
      <c r="B32" s="5" t="inlineStr">
        <is>
          <t>Arrival port</t>
        </is>
      </c>
      <c r="C32" s="5" t="inlineStr">
        <is>
          <t>arrival_confirmed</t>
        </is>
      </c>
      <c r="D32" s="5" t="n"/>
    </row>
    <row r="33" ht="30" customHeight="1">
      <c r="A33" s="6" t="inlineStr">
        <is>
          <t>Selected record</t>
        </is>
      </c>
      <c r="B33" s="6" t="inlineStr">
        <is>
          <t>Arrival date as stated</t>
        </is>
      </c>
      <c r="C33" s="6" t="inlineStr">
        <is>
          <t>arrival_confirmed</t>
        </is>
      </c>
      <c r="D33" s="8" t="n"/>
    </row>
    <row r="34" ht="30" customHeight="1">
      <c r="A34" s="5" t="inlineStr">
        <is>
          <t>Selected record</t>
        </is>
      </c>
      <c r="B34" s="5" t="inlineStr">
        <is>
          <t>Arrival date kind: planned or actual</t>
        </is>
      </c>
      <c r="C34" s="5" t="inlineStr">
        <is>
          <t>arrival_confirmed</t>
        </is>
      </c>
      <c r="D34" s="5" t="n"/>
    </row>
    <row r="35" ht="30" customHeight="1">
      <c r="A35" s="6" t="inlineStr">
        <is>
          <t>Selected record</t>
        </is>
      </c>
      <c r="B35" s="6" t="inlineStr">
        <is>
          <t>Total packages</t>
        </is>
      </c>
      <c r="C35" s="6" t="inlineStr">
        <is>
          <t>required</t>
        </is>
      </c>
      <c r="D35" s="7" t="n"/>
    </row>
    <row r="36" ht="30" customHeight="1">
      <c r="A36" s="5" t="inlineStr">
        <is>
          <t>Selected record</t>
        </is>
      </c>
      <c r="B36" s="5" t="inlineStr">
        <is>
          <t>Package unit</t>
        </is>
      </c>
      <c r="C36" s="5" t="inlineStr">
        <is>
          <t>required</t>
        </is>
      </c>
      <c r="D36" s="5" t="n"/>
    </row>
    <row r="37" ht="30" customHeight="1">
      <c r="A37" s="6" t="inlineStr">
        <is>
          <t>Selected record</t>
        </is>
      </c>
      <c r="B37" s="6" t="inlineStr">
        <is>
          <t>Total net weight in kg</t>
        </is>
      </c>
      <c r="C37" s="6" t="inlineStr">
        <is>
          <t>required</t>
        </is>
      </c>
      <c r="D37" s="10" t="n"/>
    </row>
    <row r="38" ht="30" customHeight="1">
      <c r="A38" s="5" t="inlineStr">
        <is>
          <t>Selected record</t>
        </is>
      </c>
      <c r="B38" s="5" t="inlineStr">
        <is>
          <t>Total gross weight in kg</t>
        </is>
      </c>
      <c r="C38" s="5" t="inlineStr">
        <is>
          <t>required</t>
        </is>
      </c>
      <c r="D38" s="11" t="n"/>
    </row>
    <row r="39" ht="30" customHeight="1">
      <c r="A39" s="6" t="inlineStr">
        <is>
          <t>Selected record</t>
        </is>
      </c>
      <c r="B39" s="6" t="inlineStr">
        <is>
          <t>Origin preference applicability</t>
        </is>
      </c>
      <c r="C39" s="6" t="inlineStr">
        <is>
          <t>required</t>
        </is>
      </c>
      <c r="D39" s="6" t="n"/>
    </row>
    <row r="40" ht="30" customHeight="1">
      <c r="A40" s="5" t="inlineStr">
        <is>
          <t>Selected record</t>
        </is>
      </c>
      <c r="B40" s="5" t="inlineStr">
        <is>
          <t>Licence applicability</t>
        </is>
      </c>
      <c r="C40" s="5" t="inlineStr">
        <is>
          <t>required</t>
        </is>
      </c>
      <c r="D40" s="5" t="n"/>
    </row>
    <row r="41" ht="30" customHeight="1">
      <c r="A41" s="6" t="inlineStr">
        <is>
          <t>Selected record</t>
        </is>
      </c>
      <c r="B41" s="6" t="inlineStr">
        <is>
          <t>Specialized inspection applicability</t>
        </is>
      </c>
      <c r="C41" s="6" t="inlineStr">
        <is>
          <t>required</t>
        </is>
      </c>
      <c r="D41" s="6" t="n"/>
    </row>
    <row r="42" ht="30" customHeight="1">
      <c r="A42" s="5" t="inlineStr">
        <is>
          <t>Selected record</t>
        </is>
      </c>
      <c r="B42" s="5" t="inlineStr">
        <is>
          <t>Origin evidence reference</t>
        </is>
      </c>
      <c r="C42" s="5" t="inlineStr">
        <is>
          <t>origin_preference_applicable</t>
        </is>
      </c>
      <c r="D42" s="5" t="n"/>
    </row>
    <row r="43" ht="30" customHeight="1">
      <c r="A43" s="6" t="inlineStr">
        <is>
          <t>Selected record</t>
        </is>
      </c>
      <c r="B43" s="6" t="inlineStr">
        <is>
          <t>Licence reference</t>
        </is>
      </c>
      <c r="C43" s="6" t="inlineStr">
        <is>
          <t>licence_applicable</t>
        </is>
      </c>
      <c r="D43" s="6" t="n"/>
    </row>
    <row r="44" ht="30" customHeight="1">
      <c r="A44" s="5" t="inlineStr">
        <is>
          <t>Selected record</t>
        </is>
      </c>
      <c r="B44" s="5" t="inlineStr">
        <is>
          <t>Specialized inspection reference</t>
        </is>
      </c>
      <c r="C44" s="5" t="inlineStr">
        <is>
          <t>inspection_applicable</t>
        </is>
      </c>
      <c r="D44" s="5" t="n"/>
    </row>
    <row r="45" ht="30" customHeight="1">
      <c r="A45" s="6" t="inlineStr">
        <is>
          <t>Selected record</t>
        </is>
      </c>
      <c r="B45" s="6" t="inlineStr">
        <is>
          <t>Preparer identity</t>
        </is>
      </c>
      <c r="C45" s="6" t="inlineStr">
        <is>
          <t>required</t>
        </is>
      </c>
      <c r="D45" s="6" t="n"/>
    </row>
    <row r="46" ht="30" customHeight="1">
      <c r="A46" s="5" t="inlineStr">
        <is>
          <t>Selected record</t>
        </is>
      </c>
      <c r="B46" s="5" t="inlineStr">
        <is>
          <t>Independent reviewer identity</t>
        </is>
      </c>
      <c r="C46" s="5" t="inlineStr">
        <is>
          <t>required</t>
        </is>
      </c>
      <c r="D46" s="5" t="n"/>
    </row>
    <row r="47" ht="30" customHeight="1">
      <c r="A47" s="6" t="inlineStr">
        <is>
          <t>Selected record</t>
        </is>
      </c>
      <c r="B47" s="6" t="inlineStr">
        <is>
          <t>Approval timestamp in UTC</t>
        </is>
      </c>
      <c r="C47" s="6" t="inlineStr">
        <is>
          <t>required</t>
        </is>
      </c>
      <c r="D47" s="6" t="n"/>
    </row>
    <row r="48" ht="30" customHeight="1">
      <c r="A48" s="5" t="inlineStr">
        <is>
          <t>Selected record</t>
        </is>
      </c>
      <c r="B48" s="5" t="inlineStr">
        <is>
          <t>Immutable export reference</t>
        </is>
      </c>
      <c r="C48" s="5" t="inlineStr">
        <is>
          <t>required</t>
        </is>
      </c>
      <c r="D48" s="5" t="n"/>
    </row>
    <row r="49" ht="30" customHeight="1">
      <c r="A49" s="6" t="inlineStr">
        <is>
          <t>Selected record</t>
        </is>
      </c>
      <c r="B49" s="6" t="inlineStr">
        <is>
          <t>Export timestamp in UTC</t>
        </is>
      </c>
      <c r="C49" s="6" t="inlineStr">
        <is>
          <t>required</t>
        </is>
      </c>
      <c r="D49" s="6" t="n"/>
    </row>
    <row r="50" ht="30" customHeight="1">
      <c r="A50" s="5" t="inlineStr">
        <is>
          <t>Selected record</t>
        </is>
      </c>
      <c r="B50" s="5" t="inlineStr">
        <is>
          <t>Template version</t>
        </is>
      </c>
      <c r="C50" s="5" t="inlineStr">
        <is>
          <t>required</t>
        </is>
      </c>
      <c r="D50" s="5" t="n"/>
    </row>
    <row r="51" ht="30" customHeight="1">
      <c r="A51" s="6" t="inlineStr">
        <is>
          <t>Selected record</t>
        </is>
      </c>
      <c r="B51" s="6" t="inlineStr">
        <is>
          <t>Mapping version</t>
        </is>
      </c>
      <c r="C51" s="6" t="inlineStr">
        <is>
          <t>required</t>
        </is>
      </c>
      <c r="D51" s="6" t="n"/>
    </row>
    <row r="52" ht="30" customHeight="1">
      <c r="A52" s="5" t="inlineStr">
        <is>
          <t>Selected record</t>
        </is>
      </c>
      <c r="B52" s="5" t="inlineStr">
        <is>
          <t>Original template SHA256</t>
        </is>
      </c>
      <c r="C52" s="5" t="inlineStr">
        <is>
          <t>required</t>
        </is>
      </c>
      <c r="D52" s="5" t="n"/>
    </row>
    <row r="53" ht="30" customHeight="1">
      <c r="A53" s="6" t="inlineStr">
        <is>
          <t>Calculation</t>
        </is>
      </c>
      <c r="B53" s="6" t="inlineStr">
        <is>
          <t>Sum of stated goods lines</t>
        </is>
      </c>
      <c r="C53" s="6" t="inlineStr">
        <is>
          <t>formula_owned</t>
        </is>
      </c>
      <c r="D53" s="12">
        <f>IF(COUNT(Goods!J6:J105)=0,"",SUM(Goods!J6:J105))</f>
        <v/>
      </c>
    </row>
    <row r="54" ht="30" customHeight="1">
      <c r="A54" s="5" t="inlineStr">
        <is>
          <t>Calculation</t>
        </is>
      </c>
      <c r="B54" s="5" t="inlineStr">
        <is>
          <t>Stated goods subtotal minus line sum</t>
        </is>
      </c>
      <c r="C54" s="5" t="inlineStr">
        <is>
          <t>formula_owned</t>
        </is>
      </c>
      <c r="D54" s="12">
        <f>IF(OR(D23="",D53=""),"",ROUND(D23-D53,D22))</f>
        <v/>
      </c>
    </row>
    <row r="55" ht="30" customHeight="1">
      <c r="A55" s="6" t="inlineStr">
        <is>
          <t>Calculation</t>
        </is>
      </c>
      <c r="B55" s="6" t="inlineStr">
        <is>
          <t>Calculated payable total</t>
        </is>
      </c>
      <c r="C55" s="6" t="inlineStr">
        <is>
          <t>formula_owned</t>
        </is>
      </c>
      <c r="D55" s="12">
        <f>IF(OR(D53="",D24=""),"",ROUND(D53+D24,D22))</f>
        <v/>
      </c>
    </row>
    <row r="56" ht="30" customHeight="1">
      <c r="A56" s="5" t="inlineStr">
        <is>
          <t>Calculation</t>
        </is>
      </c>
      <c r="B56" s="5" t="inlineStr">
        <is>
          <t>Stated minus calculated payable</t>
        </is>
      </c>
      <c r="C56" s="5" t="inlineStr">
        <is>
          <t>formula_owned</t>
        </is>
      </c>
      <c r="D56" s="12">
        <f>IF(OR(D25="",D55=""),"",ROUND(D25-D55,D22))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D1"/>
    <mergeCell ref="A3:D3"/>
    <mergeCell ref="A2:D2"/>
  </mergeCells>
  <dataValidations count="1">
    <dataValidation sqref="D39 D40 D41" showDropDown="0" showInputMessage="0" showErrorMessage="0" allowBlank="0" type="list">
      <formula1>"applicable,not_applicable,unknown"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&amp;CInternal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20" customWidth="1" min="4" max="4"/>
    <col width="18" customWidth="1" min="5" max="5"/>
    <col width="12" customWidth="1" min="6" max="6"/>
    <col width="18" customWidth="1" min="7" max="7"/>
    <col width="18" customWidth="1" min="8" max="8"/>
    <col width="12" customWidth="1" min="9" max="9"/>
    <col width="22" customWidth="1" min="10" max="10"/>
    <col width="22" customWidth="1" min="11" max="11"/>
    <col width="22" customWidth="1" min="12" max="12"/>
    <col width="18" customWidth="1" min="13" max="13"/>
    <col width="18" customWidth="1" min="14" max="14"/>
    <col width="38" customWidth="1" min="15" max="15"/>
  </cols>
  <sheetData>
    <row r="1" ht="38" customHeight="1">
      <c r="A1" s="1" t="inlineStr">
        <is>
          <t>PRECHECK  /  GOODS</t>
        </is>
      </c>
    </row>
    <row r="2" ht="25" customHeight="1">
      <c r="A2" s="2" t="inlineStr">
        <is>
          <t>Internal reconciliation · blank template · not a customs declaration</t>
        </is>
      </c>
    </row>
    <row r="3">
      <c r="A3" s="3" t="inlineStr">
        <is>
          <t>Template internal-review-v1  |  Mapping internal-review-map-v1  |  Policy business-v1</t>
        </is>
      </c>
    </row>
    <row r="5" ht="32" customHeight="1">
      <c r="A5" s="4" t="inlineStr">
        <is>
          <t>Line ID</t>
        </is>
      </c>
      <c r="B5" s="4" t="inlineStr">
        <is>
          <t>Supplier item code</t>
        </is>
      </c>
      <c r="C5" s="4" t="inlineStr">
        <is>
          <t>Source goods description</t>
        </is>
      </c>
      <c r="D5" s="4" t="inlineStr">
        <is>
          <t>Country of origin</t>
        </is>
      </c>
      <c r="E5" s="4" t="inlineStr">
        <is>
          <t>Quantity</t>
        </is>
      </c>
      <c r="F5" s="4" t="inlineStr">
        <is>
          <t>Unit</t>
        </is>
      </c>
      <c r="G5" s="4" t="inlineStr">
        <is>
          <t>Unit price</t>
        </is>
      </c>
      <c r="H5" s="4" t="inlineStr">
        <is>
          <t>Price per quantity</t>
        </is>
      </c>
      <c r="I5" s="4" t="inlineStr">
        <is>
          <t>Currency</t>
        </is>
      </c>
      <c r="J5" s="4" t="inlineStr">
        <is>
          <t>Stated line amount</t>
        </is>
      </c>
      <c r="K5" s="4" t="inlineStr">
        <is>
          <t>Calculated line amount</t>
        </is>
      </c>
      <c r="L5" s="4" t="inlineStr">
        <is>
          <t>Stated minus calculated</t>
        </is>
      </c>
      <c r="M5" s="4" t="inlineStr">
        <is>
          <t>Net weight kg</t>
        </is>
      </c>
      <c r="N5" s="4" t="inlineStr">
        <is>
          <t>Gross weight kg</t>
        </is>
      </c>
      <c r="O5" s="4" t="inlineStr">
        <is>
          <t>Source reference</t>
        </is>
      </c>
    </row>
    <row r="6" ht="30" customHeight="1">
      <c r="A6" s="5" t="n"/>
      <c r="B6" s="5" t="n"/>
      <c r="C6" s="5" t="n"/>
      <c r="D6" s="5" t="n"/>
      <c r="E6" s="11" t="n"/>
      <c r="F6" s="5" t="n"/>
      <c r="G6" s="11" t="n"/>
      <c r="H6" s="11" t="n"/>
      <c r="I6" s="5" t="n"/>
      <c r="J6" s="11" t="n"/>
      <c r="K6" s="12">
        <f>IF(OR(E6="",G6="",H6="",Shipment!$D$22=""),"",IF(H6&lt;=0,"INVALID BASIS",ROUND(E6*G6/H6,Shipment!$D$22)))</f>
        <v/>
      </c>
      <c r="L6" s="12">
        <f>IF(OR(J6="",NOT(ISNUMBER(K6))),"",ROUND(J6-K6,Shipment!$D$22))</f>
        <v/>
      </c>
      <c r="M6" s="11" t="n"/>
      <c r="N6" s="11" t="n"/>
      <c r="O6" s="5" t="n"/>
    </row>
    <row r="7" ht="30" customHeight="1">
      <c r="A7" s="6" t="n"/>
      <c r="B7" s="6" t="n"/>
      <c r="C7" s="6" t="n"/>
      <c r="D7" s="6" t="n"/>
      <c r="E7" s="10" t="n"/>
      <c r="F7" s="6" t="n"/>
      <c r="G7" s="10" t="n"/>
      <c r="H7" s="10" t="n"/>
      <c r="I7" s="6" t="n"/>
      <c r="J7" s="10" t="n"/>
      <c r="K7" s="12">
        <f>IF(OR(E7="",G7="",H7="",Shipment!$D$22=""),"",IF(H7&lt;=0,"INVALID BASIS",ROUND(E7*G7/H7,Shipment!$D$22)))</f>
        <v/>
      </c>
      <c r="L7" s="12">
        <f>IF(OR(J7="",NOT(ISNUMBER(K7))),"",ROUND(J7-K7,Shipment!$D$22))</f>
        <v/>
      </c>
      <c r="M7" s="10" t="n"/>
      <c r="N7" s="10" t="n"/>
      <c r="O7" s="6" t="n"/>
    </row>
    <row r="8" ht="30" customHeight="1">
      <c r="A8" s="5" t="n"/>
      <c r="B8" s="5" t="n"/>
      <c r="C8" s="5" t="n"/>
      <c r="D8" s="5" t="n"/>
      <c r="E8" s="11" t="n"/>
      <c r="F8" s="5" t="n"/>
      <c r="G8" s="11" t="n"/>
      <c r="H8" s="11" t="n"/>
      <c r="I8" s="5" t="n"/>
      <c r="J8" s="11" t="n"/>
      <c r="K8" s="12">
        <f>IF(OR(E8="",G8="",H8="",Shipment!$D$22=""),"",IF(H8&lt;=0,"INVALID BASIS",ROUND(E8*G8/H8,Shipment!$D$22)))</f>
        <v/>
      </c>
      <c r="L8" s="12">
        <f>IF(OR(J8="",NOT(ISNUMBER(K8))),"",ROUND(J8-K8,Shipment!$D$22))</f>
        <v/>
      </c>
      <c r="M8" s="11" t="n"/>
      <c r="N8" s="11" t="n"/>
      <c r="O8" s="5" t="n"/>
    </row>
    <row r="9" ht="30" customHeight="1">
      <c r="A9" s="6" t="n"/>
      <c r="B9" s="6" t="n"/>
      <c r="C9" s="6" t="n"/>
      <c r="D9" s="6" t="n"/>
      <c r="E9" s="10" t="n"/>
      <c r="F9" s="6" t="n"/>
      <c r="G9" s="10" t="n"/>
      <c r="H9" s="10" t="n"/>
      <c r="I9" s="6" t="n"/>
      <c r="J9" s="10" t="n"/>
      <c r="K9" s="12">
        <f>IF(OR(E9="",G9="",H9="",Shipment!$D$22=""),"",IF(H9&lt;=0,"INVALID BASIS",ROUND(E9*G9/H9,Shipment!$D$22)))</f>
        <v/>
      </c>
      <c r="L9" s="12">
        <f>IF(OR(J9="",NOT(ISNUMBER(K9))),"",ROUND(J9-K9,Shipment!$D$22))</f>
        <v/>
      </c>
      <c r="M9" s="10" t="n"/>
      <c r="N9" s="10" t="n"/>
      <c r="O9" s="6" t="n"/>
    </row>
    <row r="10" ht="30" customHeight="1">
      <c r="A10" s="5" t="n"/>
      <c r="B10" s="5" t="n"/>
      <c r="C10" s="5" t="n"/>
      <c r="D10" s="5" t="n"/>
      <c r="E10" s="11" t="n"/>
      <c r="F10" s="5" t="n"/>
      <c r="G10" s="11" t="n"/>
      <c r="H10" s="11" t="n"/>
      <c r="I10" s="5" t="n"/>
      <c r="J10" s="11" t="n"/>
      <c r="K10" s="12">
        <f>IF(OR(E10="",G10="",H10="",Shipment!$D$22=""),"",IF(H10&lt;=0,"INVALID BASIS",ROUND(E10*G10/H10,Shipment!$D$22)))</f>
        <v/>
      </c>
      <c r="L10" s="12">
        <f>IF(OR(J10="",NOT(ISNUMBER(K10))),"",ROUND(J10-K10,Shipment!$D$22))</f>
        <v/>
      </c>
      <c r="M10" s="11" t="n"/>
      <c r="N10" s="11" t="n"/>
      <c r="O10" s="5" t="n"/>
    </row>
    <row r="11" ht="30" customHeight="1">
      <c r="A11" s="6" t="n"/>
      <c r="B11" s="6" t="n"/>
      <c r="C11" s="6" t="n"/>
      <c r="D11" s="6" t="n"/>
      <c r="E11" s="10" t="n"/>
      <c r="F11" s="6" t="n"/>
      <c r="G11" s="10" t="n"/>
      <c r="H11" s="10" t="n"/>
      <c r="I11" s="6" t="n"/>
      <c r="J11" s="10" t="n"/>
      <c r="K11" s="12">
        <f>IF(OR(E11="",G11="",H11="",Shipment!$D$22=""),"",IF(H11&lt;=0,"INVALID BASIS",ROUND(E11*G11/H11,Shipment!$D$22)))</f>
        <v/>
      </c>
      <c r="L11" s="12">
        <f>IF(OR(J11="",NOT(ISNUMBER(K11))),"",ROUND(J11-K11,Shipment!$D$22))</f>
        <v/>
      </c>
      <c r="M11" s="10" t="n"/>
      <c r="N11" s="10" t="n"/>
      <c r="O11" s="6" t="n"/>
    </row>
    <row r="12" ht="30" customHeight="1">
      <c r="A12" s="5" t="n"/>
      <c r="B12" s="5" t="n"/>
      <c r="C12" s="5" t="n"/>
      <c r="D12" s="5" t="n"/>
      <c r="E12" s="11" t="n"/>
      <c r="F12" s="5" t="n"/>
      <c r="G12" s="11" t="n"/>
      <c r="H12" s="11" t="n"/>
      <c r="I12" s="5" t="n"/>
      <c r="J12" s="11" t="n"/>
      <c r="K12" s="12">
        <f>IF(OR(E12="",G12="",H12="",Shipment!$D$22=""),"",IF(H12&lt;=0,"INVALID BASIS",ROUND(E12*G12/H12,Shipment!$D$22)))</f>
        <v/>
      </c>
      <c r="L12" s="12">
        <f>IF(OR(J12="",NOT(ISNUMBER(K12))),"",ROUND(J12-K12,Shipment!$D$22))</f>
        <v/>
      </c>
      <c r="M12" s="11" t="n"/>
      <c r="N12" s="11" t="n"/>
      <c r="O12" s="5" t="n"/>
    </row>
    <row r="13" ht="30" customHeight="1">
      <c r="A13" s="6" t="n"/>
      <c r="B13" s="6" t="n"/>
      <c r="C13" s="6" t="n"/>
      <c r="D13" s="6" t="n"/>
      <c r="E13" s="10" t="n"/>
      <c r="F13" s="6" t="n"/>
      <c r="G13" s="10" t="n"/>
      <c r="H13" s="10" t="n"/>
      <c r="I13" s="6" t="n"/>
      <c r="J13" s="10" t="n"/>
      <c r="K13" s="12">
        <f>IF(OR(E13="",G13="",H13="",Shipment!$D$22=""),"",IF(H13&lt;=0,"INVALID BASIS",ROUND(E13*G13/H13,Shipment!$D$22)))</f>
        <v/>
      </c>
      <c r="L13" s="12">
        <f>IF(OR(J13="",NOT(ISNUMBER(K13))),"",ROUND(J13-K13,Shipment!$D$22))</f>
        <v/>
      </c>
      <c r="M13" s="10" t="n"/>
      <c r="N13" s="10" t="n"/>
      <c r="O13" s="6" t="n"/>
    </row>
    <row r="14" ht="30" customHeight="1">
      <c r="A14" s="5" t="n"/>
      <c r="B14" s="5" t="n"/>
      <c r="C14" s="5" t="n"/>
      <c r="D14" s="5" t="n"/>
      <c r="E14" s="11" t="n"/>
      <c r="F14" s="5" t="n"/>
      <c r="G14" s="11" t="n"/>
      <c r="H14" s="11" t="n"/>
      <c r="I14" s="5" t="n"/>
      <c r="J14" s="11" t="n"/>
      <c r="K14" s="12">
        <f>IF(OR(E14="",G14="",H14="",Shipment!$D$22=""),"",IF(H14&lt;=0,"INVALID BASIS",ROUND(E14*G14/H14,Shipment!$D$22)))</f>
        <v/>
      </c>
      <c r="L14" s="12">
        <f>IF(OR(J14="",NOT(ISNUMBER(K14))),"",ROUND(J14-K14,Shipment!$D$22))</f>
        <v/>
      </c>
      <c r="M14" s="11" t="n"/>
      <c r="N14" s="11" t="n"/>
      <c r="O14" s="5" t="n"/>
    </row>
    <row r="15" ht="30" customHeight="1">
      <c r="A15" s="6" t="n"/>
      <c r="B15" s="6" t="n"/>
      <c r="C15" s="6" t="n"/>
      <c r="D15" s="6" t="n"/>
      <c r="E15" s="10" t="n"/>
      <c r="F15" s="6" t="n"/>
      <c r="G15" s="10" t="n"/>
      <c r="H15" s="10" t="n"/>
      <c r="I15" s="6" t="n"/>
      <c r="J15" s="10" t="n"/>
      <c r="K15" s="12">
        <f>IF(OR(E15="",G15="",H15="",Shipment!$D$22=""),"",IF(H15&lt;=0,"INVALID BASIS",ROUND(E15*G15/H15,Shipment!$D$22)))</f>
        <v/>
      </c>
      <c r="L15" s="12">
        <f>IF(OR(J15="",NOT(ISNUMBER(K15))),"",ROUND(J15-K15,Shipment!$D$22))</f>
        <v/>
      </c>
      <c r="M15" s="10" t="n"/>
      <c r="N15" s="10" t="n"/>
      <c r="O15" s="6" t="n"/>
    </row>
    <row r="16" ht="30" customHeight="1">
      <c r="A16" s="5" t="n"/>
      <c r="B16" s="5" t="n"/>
      <c r="C16" s="5" t="n"/>
      <c r="D16" s="5" t="n"/>
      <c r="E16" s="11" t="n"/>
      <c r="F16" s="5" t="n"/>
      <c r="G16" s="11" t="n"/>
      <c r="H16" s="11" t="n"/>
      <c r="I16" s="5" t="n"/>
      <c r="J16" s="11" t="n"/>
      <c r="K16" s="12">
        <f>IF(OR(E16="",G16="",H16="",Shipment!$D$22=""),"",IF(H16&lt;=0,"INVALID BASIS",ROUND(E16*G16/H16,Shipment!$D$22)))</f>
        <v/>
      </c>
      <c r="L16" s="12">
        <f>IF(OR(J16="",NOT(ISNUMBER(K16))),"",ROUND(J16-K16,Shipment!$D$22))</f>
        <v/>
      </c>
      <c r="M16" s="11" t="n"/>
      <c r="N16" s="11" t="n"/>
      <c r="O16" s="5" t="n"/>
    </row>
    <row r="17" ht="30" customHeight="1">
      <c r="A17" s="6" t="n"/>
      <c r="B17" s="6" t="n"/>
      <c r="C17" s="6" t="n"/>
      <c r="D17" s="6" t="n"/>
      <c r="E17" s="10" t="n"/>
      <c r="F17" s="6" t="n"/>
      <c r="G17" s="10" t="n"/>
      <c r="H17" s="10" t="n"/>
      <c r="I17" s="6" t="n"/>
      <c r="J17" s="10" t="n"/>
      <c r="K17" s="12">
        <f>IF(OR(E17="",G17="",H17="",Shipment!$D$22=""),"",IF(H17&lt;=0,"INVALID BASIS",ROUND(E17*G17/H17,Shipment!$D$22)))</f>
        <v/>
      </c>
      <c r="L17" s="12">
        <f>IF(OR(J17="",NOT(ISNUMBER(K17))),"",ROUND(J17-K17,Shipment!$D$22))</f>
        <v/>
      </c>
      <c r="M17" s="10" t="n"/>
      <c r="N17" s="10" t="n"/>
      <c r="O17" s="6" t="n"/>
    </row>
    <row r="18" ht="30" customHeight="1">
      <c r="A18" s="5" t="n"/>
      <c r="B18" s="5" t="n"/>
      <c r="C18" s="5" t="n"/>
      <c r="D18" s="5" t="n"/>
      <c r="E18" s="11" t="n"/>
      <c r="F18" s="5" t="n"/>
      <c r="G18" s="11" t="n"/>
      <c r="H18" s="11" t="n"/>
      <c r="I18" s="5" t="n"/>
      <c r="J18" s="11" t="n"/>
      <c r="K18" s="12">
        <f>IF(OR(E18="",G18="",H18="",Shipment!$D$22=""),"",IF(H18&lt;=0,"INVALID BASIS",ROUND(E18*G18/H18,Shipment!$D$22)))</f>
        <v/>
      </c>
      <c r="L18" s="12">
        <f>IF(OR(J18="",NOT(ISNUMBER(K18))),"",ROUND(J18-K18,Shipment!$D$22))</f>
        <v/>
      </c>
      <c r="M18" s="11" t="n"/>
      <c r="N18" s="11" t="n"/>
      <c r="O18" s="5" t="n"/>
    </row>
    <row r="19" ht="30" customHeight="1">
      <c r="A19" s="6" t="n"/>
      <c r="B19" s="6" t="n"/>
      <c r="C19" s="6" t="n"/>
      <c r="D19" s="6" t="n"/>
      <c r="E19" s="10" t="n"/>
      <c r="F19" s="6" t="n"/>
      <c r="G19" s="10" t="n"/>
      <c r="H19" s="10" t="n"/>
      <c r="I19" s="6" t="n"/>
      <c r="J19" s="10" t="n"/>
      <c r="K19" s="12">
        <f>IF(OR(E19="",G19="",H19="",Shipment!$D$22=""),"",IF(H19&lt;=0,"INVALID BASIS",ROUND(E19*G19/H19,Shipment!$D$22)))</f>
        <v/>
      </c>
      <c r="L19" s="12">
        <f>IF(OR(J19="",NOT(ISNUMBER(K19))),"",ROUND(J19-K19,Shipment!$D$22))</f>
        <v/>
      </c>
      <c r="M19" s="10" t="n"/>
      <c r="N19" s="10" t="n"/>
      <c r="O19" s="6" t="n"/>
    </row>
    <row r="20" ht="30" customHeight="1">
      <c r="A20" s="5" t="n"/>
      <c r="B20" s="5" t="n"/>
      <c r="C20" s="5" t="n"/>
      <c r="D20" s="5" t="n"/>
      <c r="E20" s="11" t="n"/>
      <c r="F20" s="5" t="n"/>
      <c r="G20" s="11" t="n"/>
      <c r="H20" s="11" t="n"/>
      <c r="I20" s="5" t="n"/>
      <c r="J20" s="11" t="n"/>
      <c r="K20" s="12">
        <f>IF(OR(E20="",G20="",H20="",Shipment!$D$22=""),"",IF(H20&lt;=0,"INVALID BASIS",ROUND(E20*G20/H20,Shipment!$D$22)))</f>
        <v/>
      </c>
      <c r="L20" s="12">
        <f>IF(OR(J20="",NOT(ISNUMBER(K20))),"",ROUND(J20-K20,Shipment!$D$22))</f>
        <v/>
      </c>
      <c r="M20" s="11" t="n"/>
      <c r="N20" s="11" t="n"/>
      <c r="O20" s="5" t="n"/>
    </row>
    <row r="21" ht="30" customHeight="1">
      <c r="A21" s="6" t="n"/>
      <c r="B21" s="6" t="n"/>
      <c r="C21" s="6" t="n"/>
      <c r="D21" s="6" t="n"/>
      <c r="E21" s="10" t="n"/>
      <c r="F21" s="6" t="n"/>
      <c r="G21" s="10" t="n"/>
      <c r="H21" s="10" t="n"/>
      <c r="I21" s="6" t="n"/>
      <c r="J21" s="10" t="n"/>
      <c r="K21" s="12">
        <f>IF(OR(E21="",G21="",H21="",Shipment!$D$22=""),"",IF(H21&lt;=0,"INVALID BASIS",ROUND(E21*G21/H21,Shipment!$D$22)))</f>
        <v/>
      </c>
      <c r="L21" s="12">
        <f>IF(OR(J21="",NOT(ISNUMBER(K21))),"",ROUND(J21-K21,Shipment!$D$22))</f>
        <v/>
      </c>
      <c r="M21" s="10" t="n"/>
      <c r="N21" s="10" t="n"/>
      <c r="O21" s="6" t="n"/>
    </row>
    <row r="22" ht="30" customHeight="1">
      <c r="A22" s="5" t="n"/>
      <c r="B22" s="5" t="n"/>
      <c r="C22" s="5" t="n"/>
      <c r="D22" s="5" t="n"/>
      <c r="E22" s="11" t="n"/>
      <c r="F22" s="5" t="n"/>
      <c r="G22" s="11" t="n"/>
      <c r="H22" s="11" t="n"/>
      <c r="I22" s="5" t="n"/>
      <c r="J22" s="11" t="n"/>
      <c r="K22" s="12">
        <f>IF(OR(E22="",G22="",H22="",Shipment!$D$22=""),"",IF(H22&lt;=0,"INVALID BASIS",ROUND(E22*G22/H22,Shipment!$D$22)))</f>
        <v/>
      </c>
      <c r="L22" s="12">
        <f>IF(OR(J22="",NOT(ISNUMBER(K22))),"",ROUND(J22-K22,Shipment!$D$22))</f>
        <v/>
      </c>
      <c r="M22" s="11" t="n"/>
      <c r="N22" s="11" t="n"/>
      <c r="O22" s="5" t="n"/>
    </row>
    <row r="23" ht="30" customHeight="1">
      <c r="A23" s="6" t="n"/>
      <c r="B23" s="6" t="n"/>
      <c r="C23" s="6" t="n"/>
      <c r="D23" s="6" t="n"/>
      <c r="E23" s="10" t="n"/>
      <c r="F23" s="6" t="n"/>
      <c r="G23" s="10" t="n"/>
      <c r="H23" s="10" t="n"/>
      <c r="I23" s="6" t="n"/>
      <c r="J23" s="10" t="n"/>
      <c r="K23" s="12">
        <f>IF(OR(E23="",G23="",H23="",Shipment!$D$22=""),"",IF(H23&lt;=0,"INVALID BASIS",ROUND(E23*G23/H23,Shipment!$D$22)))</f>
        <v/>
      </c>
      <c r="L23" s="12">
        <f>IF(OR(J23="",NOT(ISNUMBER(K23))),"",ROUND(J23-K23,Shipment!$D$22))</f>
        <v/>
      </c>
      <c r="M23" s="10" t="n"/>
      <c r="N23" s="10" t="n"/>
      <c r="O23" s="6" t="n"/>
    </row>
    <row r="24" ht="30" customHeight="1">
      <c r="A24" s="5" t="n"/>
      <c r="B24" s="5" t="n"/>
      <c r="C24" s="5" t="n"/>
      <c r="D24" s="5" t="n"/>
      <c r="E24" s="11" t="n"/>
      <c r="F24" s="5" t="n"/>
      <c r="G24" s="11" t="n"/>
      <c r="H24" s="11" t="n"/>
      <c r="I24" s="5" t="n"/>
      <c r="J24" s="11" t="n"/>
      <c r="K24" s="12">
        <f>IF(OR(E24="",G24="",H24="",Shipment!$D$22=""),"",IF(H24&lt;=0,"INVALID BASIS",ROUND(E24*G24/H24,Shipment!$D$22)))</f>
        <v/>
      </c>
      <c r="L24" s="12">
        <f>IF(OR(J24="",NOT(ISNUMBER(K24))),"",ROUND(J24-K24,Shipment!$D$22))</f>
        <v/>
      </c>
      <c r="M24" s="11" t="n"/>
      <c r="N24" s="11" t="n"/>
      <c r="O24" s="5" t="n"/>
    </row>
    <row r="25" ht="30" customHeight="1">
      <c r="A25" s="6" t="n"/>
      <c r="B25" s="6" t="n"/>
      <c r="C25" s="6" t="n"/>
      <c r="D25" s="6" t="n"/>
      <c r="E25" s="10" t="n"/>
      <c r="F25" s="6" t="n"/>
      <c r="G25" s="10" t="n"/>
      <c r="H25" s="10" t="n"/>
      <c r="I25" s="6" t="n"/>
      <c r="J25" s="10" t="n"/>
      <c r="K25" s="12">
        <f>IF(OR(E25="",G25="",H25="",Shipment!$D$22=""),"",IF(H25&lt;=0,"INVALID BASIS",ROUND(E25*G25/H25,Shipment!$D$22)))</f>
        <v/>
      </c>
      <c r="L25" s="12">
        <f>IF(OR(J25="",NOT(ISNUMBER(K25))),"",ROUND(J25-K25,Shipment!$D$22))</f>
        <v/>
      </c>
      <c r="M25" s="10" t="n"/>
      <c r="N25" s="10" t="n"/>
      <c r="O25" s="6" t="n"/>
    </row>
    <row r="26" ht="30" customHeight="1">
      <c r="A26" s="5" t="n"/>
      <c r="B26" s="5" t="n"/>
      <c r="C26" s="5" t="n"/>
      <c r="D26" s="5" t="n"/>
      <c r="E26" s="11" t="n"/>
      <c r="F26" s="5" t="n"/>
      <c r="G26" s="11" t="n"/>
      <c r="H26" s="11" t="n"/>
      <c r="I26" s="5" t="n"/>
      <c r="J26" s="11" t="n"/>
      <c r="K26" s="12">
        <f>IF(OR(E26="",G26="",H26="",Shipment!$D$22=""),"",IF(H26&lt;=0,"INVALID BASIS",ROUND(E26*G26/H26,Shipment!$D$22)))</f>
        <v/>
      </c>
      <c r="L26" s="12">
        <f>IF(OR(J26="",NOT(ISNUMBER(K26))),"",ROUND(J26-K26,Shipment!$D$22))</f>
        <v/>
      </c>
      <c r="M26" s="11" t="n"/>
      <c r="N26" s="11" t="n"/>
      <c r="O26" s="5" t="n"/>
    </row>
    <row r="27" ht="30" customHeight="1">
      <c r="A27" s="6" t="n"/>
      <c r="B27" s="6" t="n"/>
      <c r="C27" s="6" t="n"/>
      <c r="D27" s="6" t="n"/>
      <c r="E27" s="10" t="n"/>
      <c r="F27" s="6" t="n"/>
      <c r="G27" s="10" t="n"/>
      <c r="H27" s="10" t="n"/>
      <c r="I27" s="6" t="n"/>
      <c r="J27" s="10" t="n"/>
      <c r="K27" s="12">
        <f>IF(OR(E27="",G27="",H27="",Shipment!$D$22=""),"",IF(H27&lt;=0,"INVALID BASIS",ROUND(E27*G27/H27,Shipment!$D$22)))</f>
        <v/>
      </c>
      <c r="L27" s="12">
        <f>IF(OR(J27="",NOT(ISNUMBER(K27))),"",ROUND(J27-K27,Shipment!$D$22))</f>
        <v/>
      </c>
      <c r="M27" s="10" t="n"/>
      <c r="N27" s="10" t="n"/>
      <c r="O27" s="6" t="n"/>
    </row>
    <row r="28" ht="30" customHeight="1">
      <c r="A28" s="5" t="n"/>
      <c r="B28" s="5" t="n"/>
      <c r="C28" s="5" t="n"/>
      <c r="D28" s="5" t="n"/>
      <c r="E28" s="11" t="n"/>
      <c r="F28" s="5" t="n"/>
      <c r="G28" s="11" t="n"/>
      <c r="H28" s="11" t="n"/>
      <c r="I28" s="5" t="n"/>
      <c r="J28" s="11" t="n"/>
      <c r="K28" s="12">
        <f>IF(OR(E28="",G28="",H28="",Shipment!$D$22=""),"",IF(H28&lt;=0,"INVALID BASIS",ROUND(E28*G28/H28,Shipment!$D$22)))</f>
        <v/>
      </c>
      <c r="L28" s="12">
        <f>IF(OR(J28="",NOT(ISNUMBER(K28))),"",ROUND(J28-K28,Shipment!$D$22))</f>
        <v/>
      </c>
      <c r="M28" s="11" t="n"/>
      <c r="N28" s="11" t="n"/>
      <c r="O28" s="5" t="n"/>
    </row>
    <row r="29" ht="30" customHeight="1">
      <c r="A29" s="6" t="n"/>
      <c r="B29" s="6" t="n"/>
      <c r="C29" s="6" t="n"/>
      <c r="D29" s="6" t="n"/>
      <c r="E29" s="10" t="n"/>
      <c r="F29" s="6" t="n"/>
      <c r="G29" s="10" t="n"/>
      <c r="H29" s="10" t="n"/>
      <c r="I29" s="6" t="n"/>
      <c r="J29" s="10" t="n"/>
      <c r="K29" s="12">
        <f>IF(OR(E29="",G29="",H29="",Shipment!$D$22=""),"",IF(H29&lt;=0,"INVALID BASIS",ROUND(E29*G29/H29,Shipment!$D$22)))</f>
        <v/>
      </c>
      <c r="L29" s="12">
        <f>IF(OR(J29="",NOT(ISNUMBER(K29))),"",ROUND(J29-K29,Shipment!$D$22))</f>
        <v/>
      </c>
      <c r="M29" s="10" t="n"/>
      <c r="N29" s="10" t="n"/>
      <c r="O29" s="6" t="n"/>
    </row>
    <row r="30" ht="30" customHeight="1">
      <c r="A30" s="5" t="n"/>
      <c r="B30" s="5" t="n"/>
      <c r="C30" s="5" t="n"/>
      <c r="D30" s="5" t="n"/>
      <c r="E30" s="11" t="n"/>
      <c r="F30" s="5" t="n"/>
      <c r="G30" s="11" t="n"/>
      <c r="H30" s="11" t="n"/>
      <c r="I30" s="5" t="n"/>
      <c r="J30" s="11" t="n"/>
      <c r="K30" s="12">
        <f>IF(OR(E30="",G30="",H30="",Shipment!$D$22=""),"",IF(H30&lt;=0,"INVALID BASIS",ROUND(E30*G30/H30,Shipment!$D$22)))</f>
        <v/>
      </c>
      <c r="L30" s="12">
        <f>IF(OR(J30="",NOT(ISNUMBER(K30))),"",ROUND(J30-K30,Shipment!$D$22))</f>
        <v/>
      </c>
      <c r="M30" s="11" t="n"/>
      <c r="N30" s="11" t="n"/>
      <c r="O30" s="5" t="n"/>
    </row>
    <row r="31" ht="30" customHeight="1">
      <c r="A31" s="6" t="n"/>
      <c r="B31" s="6" t="n"/>
      <c r="C31" s="6" t="n"/>
      <c r="D31" s="6" t="n"/>
      <c r="E31" s="10" t="n"/>
      <c r="F31" s="6" t="n"/>
      <c r="G31" s="10" t="n"/>
      <c r="H31" s="10" t="n"/>
      <c r="I31" s="6" t="n"/>
      <c r="J31" s="10" t="n"/>
      <c r="K31" s="12">
        <f>IF(OR(E31="",G31="",H31="",Shipment!$D$22=""),"",IF(H31&lt;=0,"INVALID BASIS",ROUND(E31*G31/H31,Shipment!$D$22)))</f>
        <v/>
      </c>
      <c r="L31" s="12">
        <f>IF(OR(J31="",NOT(ISNUMBER(K31))),"",ROUND(J31-K31,Shipment!$D$22))</f>
        <v/>
      </c>
      <c r="M31" s="10" t="n"/>
      <c r="N31" s="10" t="n"/>
      <c r="O31" s="6" t="n"/>
    </row>
    <row r="32" ht="30" customHeight="1">
      <c r="A32" s="5" t="n"/>
      <c r="B32" s="5" t="n"/>
      <c r="C32" s="5" t="n"/>
      <c r="D32" s="5" t="n"/>
      <c r="E32" s="11" t="n"/>
      <c r="F32" s="5" t="n"/>
      <c r="G32" s="11" t="n"/>
      <c r="H32" s="11" t="n"/>
      <c r="I32" s="5" t="n"/>
      <c r="J32" s="11" t="n"/>
      <c r="K32" s="12">
        <f>IF(OR(E32="",G32="",H32="",Shipment!$D$22=""),"",IF(H32&lt;=0,"INVALID BASIS",ROUND(E32*G32/H32,Shipment!$D$22)))</f>
        <v/>
      </c>
      <c r="L32" s="12">
        <f>IF(OR(J32="",NOT(ISNUMBER(K32))),"",ROUND(J32-K32,Shipment!$D$22))</f>
        <v/>
      </c>
      <c r="M32" s="11" t="n"/>
      <c r="N32" s="11" t="n"/>
      <c r="O32" s="5" t="n"/>
    </row>
    <row r="33" ht="30" customHeight="1">
      <c r="A33" s="6" t="n"/>
      <c r="B33" s="6" t="n"/>
      <c r="C33" s="6" t="n"/>
      <c r="D33" s="6" t="n"/>
      <c r="E33" s="10" t="n"/>
      <c r="F33" s="6" t="n"/>
      <c r="G33" s="10" t="n"/>
      <c r="H33" s="10" t="n"/>
      <c r="I33" s="6" t="n"/>
      <c r="J33" s="10" t="n"/>
      <c r="K33" s="12">
        <f>IF(OR(E33="",G33="",H33="",Shipment!$D$22=""),"",IF(H33&lt;=0,"INVALID BASIS",ROUND(E33*G33/H33,Shipment!$D$22)))</f>
        <v/>
      </c>
      <c r="L33" s="12">
        <f>IF(OR(J33="",NOT(ISNUMBER(K33))),"",ROUND(J33-K33,Shipment!$D$22))</f>
        <v/>
      </c>
      <c r="M33" s="10" t="n"/>
      <c r="N33" s="10" t="n"/>
      <c r="O33" s="6" t="n"/>
    </row>
    <row r="34" ht="30" customHeight="1">
      <c r="A34" s="5" t="n"/>
      <c r="B34" s="5" t="n"/>
      <c r="C34" s="5" t="n"/>
      <c r="D34" s="5" t="n"/>
      <c r="E34" s="11" t="n"/>
      <c r="F34" s="5" t="n"/>
      <c r="G34" s="11" t="n"/>
      <c r="H34" s="11" t="n"/>
      <c r="I34" s="5" t="n"/>
      <c r="J34" s="11" t="n"/>
      <c r="K34" s="12">
        <f>IF(OR(E34="",G34="",H34="",Shipment!$D$22=""),"",IF(H34&lt;=0,"INVALID BASIS",ROUND(E34*G34/H34,Shipment!$D$22)))</f>
        <v/>
      </c>
      <c r="L34" s="12">
        <f>IF(OR(J34="",NOT(ISNUMBER(K34))),"",ROUND(J34-K34,Shipment!$D$22))</f>
        <v/>
      </c>
      <c r="M34" s="11" t="n"/>
      <c r="N34" s="11" t="n"/>
      <c r="O34" s="5" t="n"/>
    </row>
    <row r="35" ht="30" customHeight="1">
      <c r="A35" s="6" t="n"/>
      <c r="B35" s="6" t="n"/>
      <c r="C35" s="6" t="n"/>
      <c r="D35" s="6" t="n"/>
      <c r="E35" s="10" t="n"/>
      <c r="F35" s="6" t="n"/>
      <c r="G35" s="10" t="n"/>
      <c r="H35" s="10" t="n"/>
      <c r="I35" s="6" t="n"/>
      <c r="J35" s="10" t="n"/>
      <c r="K35" s="12">
        <f>IF(OR(E35="",G35="",H35="",Shipment!$D$22=""),"",IF(H35&lt;=0,"INVALID BASIS",ROUND(E35*G35/H35,Shipment!$D$22)))</f>
        <v/>
      </c>
      <c r="L35" s="12">
        <f>IF(OR(J35="",NOT(ISNUMBER(K35))),"",ROUND(J35-K35,Shipment!$D$22))</f>
        <v/>
      </c>
      <c r="M35" s="10" t="n"/>
      <c r="N35" s="10" t="n"/>
      <c r="O35" s="6" t="n"/>
    </row>
    <row r="36" ht="30" customHeight="1">
      <c r="A36" s="5" t="n"/>
      <c r="B36" s="5" t="n"/>
      <c r="C36" s="5" t="n"/>
      <c r="D36" s="5" t="n"/>
      <c r="E36" s="11" t="n"/>
      <c r="F36" s="5" t="n"/>
      <c r="G36" s="11" t="n"/>
      <c r="H36" s="11" t="n"/>
      <c r="I36" s="5" t="n"/>
      <c r="J36" s="11" t="n"/>
      <c r="K36" s="12">
        <f>IF(OR(E36="",G36="",H36="",Shipment!$D$22=""),"",IF(H36&lt;=0,"INVALID BASIS",ROUND(E36*G36/H36,Shipment!$D$22)))</f>
        <v/>
      </c>
      <c r="L36" s="12">
        <f>IF(OR(J36="",NOT(ISNUMBER(K36))),"",ROUND(J36-K36,Shipment!$D$22))</f>
        <v/>
      </c>
      <c r="M36" s="11" t="n"/>
      <c r="N36" s="11" t="n"/>
      <c r="O36" s="5" t="n"/>
    </row>
    <row r="37" ht="30" customHeight="1">
      <c r="A37" s="6" t="n"/>
      <c r="B37" s="6" t="n"/>
      <c r="C37" s="6" t="n"/>
      <c r="D37" s="6" t="n"/>
      <c r="E37" s="10" t="n"/>
      <c r="F37" s="6" t="n"/>
      <c r="G37" s="10" t="n"/>
      <c r="H37" s="10" t="n"/>
      <c r="I37" s="6" t="n"/>
      <c r="J37" s="10" t="n"/>
      <c r="K37" s="12">
        <f>IF(OR(E37="",G37="",H37="",Shipment!$D$22=""),"",IF(H37&lt;=0,"INVALID BASIS",ROUND(E37*G37/H37,Shipment!$D$22)))</f>
        <v/>
      </c>
      <c r="L37" s="12">
        <f>IF(OR(J37="",NOT(ISNUMBER(K37))),"",ROUND(J37-K37,Shipment!$D$22))</f>
        <v/>
      </c>
      <c r="M37" s="10" t="n"/>
      <c r="N37" s="10" t="n"/>
      <c r="O37" s="6" t="n"/>
    </row>
    <row r="38" ht="30" customHeight="1">
      <c r="A38" s="5" t="n"/>
      <c r="B38" s="5" t="n"/>
      <c r="C38" s="5" t="n"/>
      <c r="D38" s="5" t="n"/>
      <c r="E38" s="11" t="n"/>
      <c r="F38" s="5" t="n"/>
      <c r="G38" s="11" t="n"/>
      <c r="H38" s="11" t="n"/>
      <c r="I38" s="5" t="n"/>
      <c r="J38" s="11" t="n"/>
      <c r="K38" s="12">
        <f>IF(OR(E38="",G38="",H38="",Shipment!$D$22=""),"",IF(H38&lt;=0,"INVALID BASIS",ROUND(E38*G38/H38,Shipment!$D$22)))</f>
        <v/>
      </c>
      <c r="L38" s="12">
        <f>IF(OR(J38="",NOT(ISNUMBER(K38))),"",ROUND(J38-K38,Shipment!$D$22))</f>
        <v/>
      </c>
      <c r="M38" s="11" t="n"/>
      <c r="N38" s="11" t="n"/>
      <c r="O38" s="5" t="n"/>
    </row>
    <row r="39" ht="30" customHeight="1">
      <c r="A39" s="6" t="n"/>
      <c r="B39" s="6" t="n"/>
      <c r="C39" s="6" t="n"/>
      <c r="D39" s="6" t="n"/>
      <c r="E39" s="10" t="n"/>
      <c r="F39" s="6" t="n"/>
      <c r="G39" s="10" t="n"/>
      <c r="H39" s="10" t="n"/>
      <c r="I39" s="6" t="n"/>
      <c r="J39" s="10" t="n"/>
      <c r="K39" s="12">
        <f>IF(OR(E39="",G39="",H39="",Shipment!$D$22=""),"",IF(H39&lt;=0,"INVALID BASIS",ROUND(E39*G39/H39,Shipment!$D$22)))</f>
        <v/>
      </c>
      <c r="L39" s="12">
        <f>IF(OR(J39="",NOT(ISNUMBER(K39))),"",ROUND(J39-K39,Shipment!$D$22))</f>
        <v/>
      </c>
      <c r="M39" s="10" t="n"/>
      <c r="N39" s="10" t="n"/>
      <c r="O39" s="6" t="n"/>
    </row>
    <row r="40" ht="30" customHeight="1">
      <c r="A40" s="5" t="n"/>
      <c r="B40" s="5" t="n"/>
      <c r="C40" s="5" t="n"/>
      <c r="D40" s="5" t="n"/>
      <c r="E40" s="11" t="n"/>
      <c r="F40" s="5" t="n"/>
      <c r="G40" s="11" t="n"/>
      <c r="H40" s="11" t="n"/>
      <c r="I40" s="5" t="n"/>
      <c r="J40" s="11" t="n"/>
      <c r="K40" s="12">
        <f>IF(OR(E40="",G40="",H40="",Shipment!$D$22=""),"",IF(H40&lt;=0,"INVALID BASIS",ROUND(E40*G40/H40,Shipment!$D$22)))</f>
        <v/>
      </c>
      <c r="L40" s="12">
        <f>IF(OR(J40="",NOT(ISNUMBER(K40))),"",ROUND(J40-K40,Shipment!$D$22))</f>
        <v/>
      </c>
      <c r="M40" s="11" t="n"/>
      <c r="N40" s="11" t="n"/>
      <c r="O40" s="5" t="n"/>
    </row>
    <row r="41" ht="30" customHeight="1">
      <c r="A41" s="6" t="n"/>
      <c r="B41" s="6" t="n"/>
      <c r="C41" s="6" t="n"/>
      <c r="D41" s="6" t="n"/>
      <c r="E41" s="10" t="n"/>
      <c r="F41" s="6" t="n"/>
      <c r="G41" s="10" t="n"/>
      <c r="H41" s="10" t="n"/>
      <c r="I41" s="6" t="n"/>
      <c r="J41" s="10" t="n"/>
      <c r="K41" s="12">
        <f>IF(OR(E41="",G41="",H41="",Shipment!$D$22=""),"",IF(H41&lt;=0,"INVALID BASIS",ROUND(E41*G41/H41,Shipment!$D$22)))</f>
        <v/>
      </c>
      <c r="L41" s="12">
        <f>IF(OR(J41="",NOT(ISNUMBER(K41))),"",ROUND(J41-K41,Shipment!$D$22))</f>
        <v/>
      </c>
      <c r="M41" s="10" t="n"/>
      <c r="N41" s="10" t="n"/>
      <c r="O41" s="6" t="n"/>
    </row>
    <row r="42" ht="30" customHeight="1">
      <c r="A42" s="5" t="n"/>
      <c r="B42" s="5" t="n"/>
      <c r="C42" s="5" t="n"/>
      <c r="D42" s="5" t="n"/>
      <c r="E42" s="11" t="n"/>
      <c r="F42" s="5" t="n"/>
      <c r="G42" s="11" t="n"/>
      <c r="H42" s="11" t="n"/>
      <c r="I42" s="5" t="n"/>
      <c r="J42" s="11" t="n"/>
      <c r="K42" s="12">
        <f>IF(OR(E42="",G42="",H42="",Shipment!$D$22=""),"",IF(H42&lt;=0,"INVALID BASIS",ROUND(E42*G42/H42,Shipment!$D$22)))</f>
        <v/>
      </c>
      <c r="L42" s="12">
        <f>IF(OR(J42="",NOT(ISNUMBER(K42))),"",ROUND(J42-K42,Shipment!$D$22))</f>
        <v/>
      </c>
      <c r="M42" s="11" t="n"/>
      <c r="N42" s="11" t="n"/>
      <c r="O42" s="5" t="n"/>
    </row>
    <row r="43" ht="30" customHeight="1">
      <c r="A43" s="6" t="n"/>
      <c r="B43" s="6" t="n"/>
      <c r="C43" s="6" t="n"/>
      <c r="D43" s="6" t="n"/>
      <c r="E43" s="10" t="n"/>
      <c r="F43" s="6" t="n"/>
      <c r="G43" s="10" t="n"/>
      <c r="H43" s="10" t="n"/>
      <c r="I43" s="6" t="n"/>
      <c r="J43" s="10" t="n"/>
      <c r="K43" s="12">
        <f>IF(OR(E43="",G43="",H43="",Shipment!$D$22=""),"",IF(H43&lt;=0,"INVALID BASIS",ROUND(E43*G43/H43,Shipment!$D$22)))</f>
        <v/>
      </c>
      <c r="L43" s="12">
        <f>IF(OR(J43="",NOT(ISNUMBER(K43))),"",ROUND(J43-K43,Shipment!$D$22))</f>
        <v/>
      </c>
      <c r="M43" s="10" t="n"/>
      <c r="N43" s="10" t="n"/>
      <c r="O43" s="6" t="n"/>
    </row>
    <row r="44" ht="30" customHeight="1">
      <c r="A44" s="5" t="n"/>
      <c r="B44" s="5" t="n"/>
      <c r="C44" s="5" t="n"/>
      <c r="D44" s="5" t="n"/>
      <c r="E44" s="11" t="n"/>
      <c r="F44" s="5" t="n"/>
      <c r="G44" s="11" t="n"/>
      <c r="H44" s="11" t="n"/>
      <c r="I44" s="5" t="n"/>
      <c r="J44" s="11" t="n"/>
      <c r="K44" s="12">
        <f>IF(OR(E44="",G44="",H44="",Shipment!$D$22=""),"",IF(H44&lt;=0,"INVALID BASIS",ROUND(E44*G44/H44,Shipment!$D$22)))</f>
        <v/>
      </c>
      <c r="L44" s="12">
        <f>IF(OR(J44="",NOT(ISNUMBER(K44))),"",ROUND(J44-K44,Shipment!$D$22))</f>
        <v/>
      </c>
      <c r="M44" s="11" t="n"/>
      <c r="N44" s="11" t="n"/>
      <c r="O44" s="5" t="n"/>
    </row>
    <row r="45" ht="30" customHeight="1">
      <c r="A45" s="6" t="n"/>
      <c r="B45" s="6" t="n"/>
      <c r="C45" s="6" t="n"/>
      <c r="D45" s="6" t="n"/>
      <c r="E45" s="10" t="n"/>
      <c r="F45" s="6" t="n"/>
      <c r="G45" s="10" t="n"/>
      <c r="H45" s="10" t="n"/>
      <c r="I45" s="6" t="n"/>
      <c r="J45" s="10" t="n"/>
      <c r="K45" s="12">
        <f>IF(OR(E45="",G45="",H45="",Shipment!$D$22=""),"",IF(H45&lt;=0,"INVALID BASIS",ROUND(E45*G45/H45,Shipment!$D$22)))</f>
        <v/>
      </c>
      <c r="L45" s="12">
        <f>IF(OR(J45="",NOT(ISNUMBER(K45))),"",ROUND(J45-K45,Shipment!$D$22))</f>
        <v/>
      </c>
      <c r="M45" s="10" t="n"/>
      <c r="N45" s="10" t="n"/>
      <c r="O45" s="6" t="n"/>
    </row>
    <row r="46" ht="30" customHeight="1">
      <c r="A46" s="5" t="n"/>
      <c r="B46" s="5" t="n"/>
      <c r="C46" s="5" t="n"/>
      <c r="D46" s="5" t="n"/>
      <c r="E46" s="11" t="n"/>
      <c r="F46" s="5" t="n"/>
      <c r="G46" s="11" t="n"/>
      <c r="H46" s="11" t="n"/>
      <c r="I46" s="5" t="n"/>
      <c r="J46" s="11" t="n"/>
      <c r="K46" s="12">
        <f>IF(OR(E46="",G46="",H46="",Shipment!$D$22=""),"",IF(H46&lt;=0,"INVALID BASIS",ROUND(E46*G46/H46,Shipment!$D$22)))</f>
        <v/>
      </c>
      <c r="L46" s="12">
        <f>IF(OR(J46="",NOT(ISNUMBER(K46))),"",ROUND(J46-K46,Shipment!$D$22))</f>
        <v/>
      </c>
      <c r="M46" s="11" t="n"/>
      <c r="N46" s="11" t="n"/>
      <c r="O46" s="5" t="n"/>
    </row>
    <row r="47" ht="30" customHeight="1">
      <c r="A47" s="6" t="n"/>
      <c r="B47" s="6" t="n"/>
      <c r="C47" s="6" t="n"/>
      <c r="D47" s="6" t="n"/>
      <c r="E47" s="10" t="n"/>
      <c r="F47" s="6" t="n"/>
      <c r="G47" s="10" t="n"/>
      <c r="H47" s="10" t="n"/>
      <c r="I47" s="6" t="n"/>
      <c r="J47" s="10" t="n"/>
      <c r="K47" s="12">
        <f>IF(OR(E47="",G47="",H47="",Shipment!$D$22=""),"",IF(H47&lt;=0,"INVALID BASIS",ROUND(E47*G47/H47,Shipment!$D$22)))</f>
        <v/>
      </c>
      <c r="L47" s="12">
        <f>IF(OR(J47="",NOT(ISNUMBER(K47))),"",ROUND(J47-K47,Shipment!$D$22))</f>
        <v/>
      </c>
      <c r="M47" s="10" t="n"/>
      <c r="N47" s="10" t="n"/>
      <c r="O47" s="6" t="n"/>
    </row>
    <row r="48" ht="30" customHeight="1">
      <c r="A48" s="5" t="n"/>
      <c r="B48" s="5" t="n"/>
      <c r="C48" s="5" t="n"/>
      <c r="D48" s="5" t="n"/>
      <c r="E48" s="11" t="n"/>
      <c r="F48" s="5" t="n"/>
      <c r="G48" s="11" t="n"/>
      <c r="H48" s="11" t="n"/>
      <c r="I48" s="5" t="n"/>
      <c r="J48" s="11" t="n"/>
      <c r="K48" s="12">
        <f>IF(OR(E48="",G48="",H48="",Shipment!$D$22=""),"",IF(H48&lt;=0,"INVALID BASIS",ROUND(E48*G48/H48,Shipment!$D$22)))</f>
        <v/>
      </c>
      <c r="L48" s="12">
        <f>IF(OR(J48="",NOT(ISNUMBER(K48))),"",ROUND(J48-K48,Shipment!$D$22))</f>
        <v/>
      </c>
      <c r="M48" s="11" t="n"/>
      <c r="N48" s="11" t="n"/>
      <c r="O48" s="5" t="n"/>
    </row>
    <row r="49" ht="30" customHeight="1">
      <c r="A49" s="6" t="n"/>
      <c r="B49" s="6" t="n"/>
      <c r="C49" s="6" t="n"/>
      <c r="D49" s="6" t="n"/>
      <c r="E49" s="10" t="n"/>
      <c r="F49" s="6" t="n"/>
      <c r="G49" s="10" t="n"/>
      <c r="H49" s="10" t="n"/>
      <c r="I49" s="6" t="n"/>
      <c r="J49" s="10" t="n"/>
      <c r="K49" s="12">
        <f>IF(OR(E49="",G49="",H49="",Shipment!$D$22=""),"",IF(H49&lt;=0,"INVALID BASIS",ROUND(E49*G49/H49,Shipment!$D$22)))</f>
        <v/>
      </c>
      <c r="L49" s="12">
        <f>IF(OR(J49="",NOT(ISNUMBER(K49))),"",ROUND(J49-K49,Shipment!$D$22))</f>
        <v/>
      </c>
      <c r="M49" s="10" t="n"/>
      <c r="N49" s="10" t="n"/>
      <c r="O49" s="6" t="n"/>
    </row>
    <row r="50" ht="30" customHeight="1">
      <c r="A50" s="5" t="n"/>
      <c r="B50" s="5" t="n"/>
      <c r="C50" s="5" t="n"/>
      <c r="D50" s="5" t="n"/>
      <c r="E50" s="11" t="n"/>
      <c r="F50" s="5" t="n"/>
      <c r="G50" s="11" t="n"/>
      <c r="H50" s="11" t="n"/>
      <c r="I50" s="5" t="n"/>
      <c r="J50" s="11" t="n"/>
      <c r="K50" s="12">
        <f>IF(OR(E50="",G50="",H50="",Shipment!$D$22=""),"",IF(H50&lt;=0,"INVALID BASIS",ROUND(E50*G50/H50,Shipment!$D$22)))</f>
        <v/>
      </c>
      <c r="L50" s="12">
        <f>IF(OR(J50="",NOT(ISNUMBER(K50))),"",ROUND(J50-K50,Shipment!$D$22))</f>
        <v/>
      </c>
      <c r="M50" s="11" t="n"/>
      <c r="N50" s="11" t="n"/>
      <c r="O50" s="5" t="n"/>
    </row>
    <row r="51" ht="30" customHeight="1">
      <c r="A51" s="6" t="n"/>
      <c r="B51" s="6" t="n"/>
      <c r="C51" s="6" t="n"/>
      <c r="D51" s="6" t="n"/>
      <c r="E51" s="10" t="n"/>
      <c r="F51" s="6" t="n"/>
      <c r="G51" s="10" t="n"/>
      <c r="H51" s="10" t="n"/>
      <c r="I51" s="6" t="n"/>
      <c r="J51" s="10" t="n"/>
      <c r="K51" s="12">
        <f>IF(OR(E51="",G51="",H51="",Shipment!$D$22=""),"",IF(H51&lt;=0,"INVALID BASIS",ROUND(E51*G51/H51,Shipment!$D$22)))</f>
        <v/>
      </c>
      <c r="L51" s="12">
        <f>IF(OR(J51="",NOT(ISNUMBER(K51))),"",ROUND(J51-K51,Shipment!$D$22))</f>
        <v/>
      </c>
      <c r="M51" s="10" t="n"/>
      <c r="N51" s="10" t="n"/>
      <c r="O51" s="6" t="n"/>
    </row>
    <row r="52" ht="30" customHeight="1">
      <c r="A52" s="5" t="n"/>
      <c r="B52" s="5" t="n"/>
      <c r="C52" s="5" t="n"/>
      <c r="D52" s="5" t="n"/>
      <c r="E52" s="11" t="n"/>
      <c r="F52" s="5" t="n"/>
      <c r="G52" s="11" t="n"/>
      <c r="H52" s="11" t="n"/>
      <c r="I52" s="5" t="n"/>
      <c r="J52" s="11" t="n"/>
      <c r="K52" s="12">
        <f>IF(OR(E52="",G52="",H52="",Shipment!$D$22=""),"",IF(H52&lt;=0,"INVALID BASIS",ROUND(E52*G52/H52,Shipment!$D$22)))</f>
        <v/>
      </c>
      <c r="L52" s="12">
        <f>IF(OR(J52="",NOT(ISNUMBER(K52))),"",ROUND(J52-K52,Shipment!$D$22))</f>
        <v/>
      </c>
      <c r="M52" s="11" t="n"/>
      <c r="N52" s="11" t="n"/>
      <c r="O52" s="5" t="n"/>
    </row>
    <row r="53" ht="30" customHeight="1">
      <c r="A53" s="6" t="n"/>
      <c r="B53" s="6" t="n"/>
      <c r="C53" s="6" t="n"/>
      <c r="D53" s="6" t="n"/>
      <c r="E53" s="10" t="n"/>
      <c r="F53" s="6" t="n"/>
      <c r="G53" s="10" t="n"/>
      <c r="H53" s="10" t="n"/>
      <c r="I53" s="6" t="n"/>
      <c r="J53" s="10" t="n"/>
      <c r="K53" s="12">
        <f>IF(OR(E53="",G53="",H53="",Shipment!$D$22=""),"",IF(H53&lt;=0,"INVALID BASIS",ROUND(E53*G53/H53,Shipment!$D$22)))</f>
        <v/>
      </c>
      <c r="L53" s="12">
        <f>IF(OR(J53="",NOT(ISNUMBER(K53))),"",ROUND(J53-K53,Shipment!$D$22))</f>
        <v/>
      </c>
      <c r="M53" s="10" t="n"/>
      <c r="N53" s="10" t="n"/>
      <c r="O53" s="6" t="n"/>
    </row>
    <row r="54" ht="30" customHeight="1">
      <c r="A54" s="5" t="n"/>
      <c r="B54" s="5" t="n"/>
      <c r="C54" s="5" t="n"/>
      <c r="D54" s="5" t="n"/>
      <c r="E54" s="11" t="n"/>
      <c r="F54" s="5" t="n"/>
      <c r="G54" s="11" t="n"/>
      <c r="H54" s="11" t="n"/>
      <c r="I54" s="5" t="n"/>
      <c r="J54" s="11" t="n"/>
      <c r="K54" s="12">
        <f>IF(OR(E54="",G54="",H54="",Shipment!$D$22=""),"",IF(H54&lt;=0,"INVALID BASIS",ROUND(E54*G54/H54,Shipment!$D$22)))</f>
        <v/>
      </c>
      <c r="L54" s="12">
        <f>IF(OR(J54="",NOT(ISNUMBER(K54))),"",ROUND(J54-K54,Shipment!$D$22))</f>
        <v/>
      </c>
      <c r="M54" s="11" t="n"/>
      <c r="N54" s="11" t="n"/>
      <c r="O54" s="5" t="n"/>
    </row>
    <row r="55" ht="30" customHeight="1">
      <c r="A55" s="6" t="n"/>
      <c r="B55" s="6" t="n"/>
      <c r="C55" s="6" t="n"/>
      <c r="D55" s="6" t="n"/>
      <c r="E55" s="10" t="n"/>
      <c r="F55" s="6" t="n"/>
      <c r="G55" s="10" t="n"/>
      <c r="H55" s="10" t="n"/>
      <c r="I55" s="6" t="n"/>
      <c r="J55" s="10" t="n"/>
      <c r="K55" s="12">
        <f>IF(OR(E55="",G55="",H55="",Shipment!$D$22=""),"",IF(H55&lt;=0,"INVALID BASIS",ROUND(E55*G55/H55,Shipment!$D$22)))</f>
        <v/>
      </c>
      <c r="L55" s="12">
        <f>IF(OR(J55="",NOT(ISNUMBER(K55))),"",ROUND(J55-K55,Shipment!$D$22))</f>
        <v/>
      </c>
      <c r="M55" s="10" t="n"/>
      <c r="N55" s="10" t="n"/>
      <c r="O55" s="6" t="n"/>
    </row>
    <row r="56" ht="30" customHeight="1">
      <c r="A56" s="5" t="n"/>
      <c r="B56" s="5" t="n"/>
      <c r="C56" s="5" t="n"/>
      <c r="D56" s="5" t="n"/>
      <c r="E56" s="11" t="n"/>
      <c r="F56" s="5" t="n"/>
      <c r="G56" s="11" t="n"/>
      <c r="H56" s="11" t="n"/>
      <c r="I56" s="5" t="n"/>
      <c r="J56" s="11" t="n"/>
      <c r="K56" s="12">
        <f>IF(OR(E56="",G56="",H56="",Shipment!$D$22=""),"",IF(H56&lt;=0,"INVALID BASIS",ROUND(E56*G56/H56,Shipment!$D$22)))</f>
        <v/>
      </c>
      <c r="L56" s="12">
        <f>IF(OR(J56="",NOT(ISNUMBER(K56))),"",ROUND(J56-K56,Shipment!$D$22))</f>
        <v/>
      </c>
      <c r="M56" s="11" t="n"/>
      <c r="N56" s="11" t="n"/>
      <c r="O56" s="5" t="n"/>
    </row>
    <row r="57" ht="30" customHeight="1">
      <c r="A57" s="6" t="n"/>
      <c r="B57" s="6" t="n"/>
      <c r="C57" s="6" t="n"/>
      <c r="D57" s="6" t="n"/>
      <c r="E57" s="10" t="n"/>
      <c r="F57" s="6" t="n"/>
      <c r="G57" s="10" t="n"/>
      <c r="H57" s="10" t="n"/>
      <c r="I57" s="6" t="n"/>
      <c r="J57" s="10" t="n"/>
      <c r="K57" s="12">
        <f>IF(OR(E57="",G57="",H57="",Shipment!$D$22=""),"",IF(H57&lt;=0,"INVALID BASIS",ROUND(E57*G57/H57,Shipment!$D$22)))</f>
        <v/>
      </c>
      <c r="L57" s="12">
        <f>IF(OR(J57="",NOT(ISNUMBER(K57))),"",ROUND(J57-K57,Shipment!$D$22))</f>
        <v/>
      </c>
      <c r="M57" s="10" t="n"/>
      <c r="N57" s="10" t="n"/>
      <c r="O57" s="6" t="n"/>
    </row>
    <row r="58" ht="30" customHeight="1">
      <c r="A58" s="5" t="n"/>
      <c r="B58" s="5" t="n"/>
      <c r="C58" s="5" t="n"/>
      <c r="D58" s="5" t="n"/>
      <c r="E58" s="11" t="n"/>
      <c r="F58" s="5" t="n"/>
      <c r="G58" s="11" t="n"/>
      <c r="H58" s="11" t="n"/>
      <c r="I58" s="5" t="n"/>
      <c r="J58" s="11" t="n"/>
      <c r="K58" s="12">
        <f>IF(OR(E58="",G58="",H58="",Shipment!$D$22=""),"",IF(H58&lt;=0,"INVALID BASIS",ROUND(E58*G58/H58,Shipment!$D$22)))</f>
        <v/>
      </c>
      <c r="L58" s="12">
        <f>IF(OR(J58="",NOT(ISNUMBER(K58))),"",ROUND(J58-K58,Shipment!$D$22))</f>
        <v/>
      </c>
      <c r="M58" s="11" t="n"/>
      <c r="N58" s="11" t="n"/>
      <c r="O58" s="5" t="n"/>
    </row>
    <row r="59" ht="30" customHeight="1">
      <c r="A59" s="6" t="n"/>
      <c r="B59" s="6" t="n"/>
      <c r="C59" s="6" t="n"/>
      <c r="D59" s="6" t="n"/>
      <c r="E59" s="10" t="n"/>
      <c r="F59" s="6" t="n"/>
      <c r="G59" s="10" t="n"/>
      <c r="H59" s="10" t="n"/>
      <c r="I59" s="6" t="n"/>
      <c r="J59" s="10" t="n"/>
      <c r="K59" s="12">
        <f>IF(OR(E59="",G59="",H59="",Shipment!$D$22=""),"",IF(H59&lt;=0,"INVALID BASIS",ROUND(E59*G59/H59,Shipment!$D$22)))</f>
        <v/>
      </c>
      <c r="L59" s="12">
        <f>IF(OR(J59="",NOT(ISNUMBER(K59))),"",ROUND(J59-K59,Shipment!$D$22))</f>
        <v/>
      </c>
      <c r="M59" s="10" t="n"/>
      <c r="N59" s="10" t="n"/>
      <c r="O59" s="6" t="n"/>
    </row>
    <row r="60" ht="30" customHeight="1">
      <c r="A60" s="5" t="n"/>
      <c r="B60" s="5" t="n"/>
      <c r="C60" s="5" t="n"/>
      <c r="D60" s="5" t="n"/>
      <c r="E60" s="11" t="n"/>
      <c r="F60" s="5" t="n"/>
      <c r="G60" s="11" t="n"/>
      <c r="H60" s="11" t="n"/>
      <c r="I60" s="5" t="n"/>
      <c r="J60" s="11" t="n"/>
      <c r="K60" s="12">
        <f>IF(OR(E60="",G60="",H60="",Shipment!$D$22=""),"",IF(H60&lt;=0,"INVALID BASIS",ROUND(E60*G60/H60,Shipment!$D$22)))</f>
        <v/>
      </c>
      <c r="L60" s="12">
        <f>IF(OR(J60="",NOT(ISNUMBER(K60))),"",ROUND(J60-K60,Shipment!$D$22))</f>
        <v/>
      </c>
      <c r="M60" s="11" t="n"/>
      <c r="N60" s="11" t="n"/>
      <c r="O60" s="5" t="n"/>
    </row>
    <row r="61" ht="30" customHeight="1">
      <c r="A61" s="6" t="n"/>
      <c r="B61" s="6" t="n"/>
      <c r="C61" s="6" t="n"/>
      <c r="D61" s="6" t="n"/>
      <c r="E61" s="10" t="n"/>
      <c r="F61" s="6" t="n"/>
      <c r="G61" s="10" t="n"/>
      <c r="H61" s="10" t="n"/>
      <c r="I61" s="6" t="n"/>
      <c r="J61" s="10" t="n"/>
      <c r="K61" s="12">
        <f>IF(OR(E61="",G61="",H61="",Shipment!$D$22=""),"",IF(H61&lt;=0,"INVALID BASIS",ROUND(E61*G61/H61,Shipment!$D$22)))</f>
        <v/>
      </c>
      <c r="L61" s="12">
        <f>IF(OR(J61="",NOT(ISNUMBER(K61))),"",ROUND(J61-K61,Shipment!$D$22))</f>
        <v/>
      </c>
      <c r="M61" s="10" t="n"/>
      <c r="N61" s="10" t="n"/>
      <c r="O61" s="6" t="n"/>
    </row>
    <row r="62" ht="30" customHeight="1">
      <c r="A62" s="5" t="n"/>
      <c r="B62" s="5" t="n"/>
      <c r="C62" s="5" t="n"/>
      <c r="D62" s="5" t="n"/>
      <c r="E62" s="11" t="n"/>
      <c r="F62" s="5" t="n"/>
      <c r="G62" s="11" t="n"/>
      <c r="H62" s="11" t="n"/>
      <c r="I62" s="5" t="n"/>
      <c r="J62" s="11" t="n"/>
      <c r="K62" s="12">
        <f>IF(OR(E62="",G62="",H62="",Shipment!$D$22=""),"",IF(H62&lt;=0,"INVALID BASIS",ROUND(E62*G62/H62,Shipment!$D$22)))</f>
        <v/>
      </c>
      <c r="L62" s="12">
        <f>IF(OR(J62="",NOT(ISNUMBER(K62))),"",ROUND(J62-K62,Shipment!$D$22))</f>
        <v/>
      </c>
      <c r="M62" s="11" t="n"/>
      <c r="N62" s="11" t="n"/>
      <c r="O62" s="5" t="n"/>
    </row>
    <row r="63" ht="30" customHeight="1">
      <c r="A63" s="6" t="n"/>
      <c r="B63" s="6" t="n"/>
      <c r="C63" s="6" t="n"/>
      <c r="D63" s="6" t="n"/>
      <c r="E63" s="10" t="n"/>
      <c r="F63" s="6" t="n"/>
      <c r="G63" s="10" t="n"/>
      <c r="H63" s="10" t="n"/>
      <c r="I63" s="6" t="n"/>
      <c r="J63" s="10" t="n"/>
      <c r="K63" s="12">
        <f>IF(OR(E63="",G63="",H63="",Shipment!$D$22=""),"",IF(H63&lt;=0,"INVALID BASIS",ROUND(E63*G63/H63,Shipment!$D$22)))</f>
        <v/>
      </c>
      <c r="L63" s="12">
        <f>IF(OR(J63="",NOT(ISNUMBER(K63))),"",ROUND(J63-K63,Shipment!$D$22))</f>
        <v/>
      </c>
      <c r="M63" s="10" t="n"/>
      <c r="N63" s="10" t="n"/>
      <c r="O63" s="6" t="n"/>
    </row>
    <row r="64" ht="30" customHeight="1">
      <c r="A64" s="5" t="n"/>
      <c r="B64" s="5" t="n"/>
      <c r="C64" s="5" t="n"/>
      <c r="D64" s="5" t="n"/>
      <c r="E64" s="11" t="n"/>
      <c r="F64" s="5" t="n"/>
      <c r="G64" s="11" t="n"/>
      <c r="H64" s="11" t="n"/>
      <c r="I64" s="5" t="n"/>
      <c r="J64" s="11" t="n"/>
      <c r="K64" s="12">
        <f>IF(OR(E64="",G64="",H64="",Shipment!$D$22=""),"",IF(H64&lt;=0,"INVALID BASIS",ROUND(E64*G64/H64,Shipment!$D$22)))</f>
        <v/>
      </c>
      <c r="L64" s="12">
        <f>IF(OR(J64="",NOT(ISNUMBER(K64))),"",ROUND(J64-K64,Shipment!$D$22))</f>
        <v/>
      </c>
      <c r="M64" s="11" t="n"/>
      <c r="N64" s="11" t="n"/>
      <c r="O64" s="5" t="n"/>
    </row>
    <row r="65" ht="30" customHeight="1">
      <c r="A65" s="6" t="n"/>
      <c r="B65" s="6" t="n"/>
      <c r="C65" s="6" t="n"/>
      <c r="D65" s="6" t="n"/>
      <c r="E65" s="10" t="n"/>
      <c r="F65" s="6" t="n"/>
      <c r="G65" s="10" t="n"/>
      <c r="H65" s="10" t="n"/>
      <c r="I65" s="6" t="n"/>
      <c r="J65" s="10" t="n"/>
      <c r="K65" s="12">
        <f>IF(OR(E65="",G65="",H65="",Shipment!$D$22=""),"",IF(H65&lt;=0,"INVALID BASIS",ROUND(E65*G65/H65,Shipment!$D$22)))</f>
        <v/>
      </c>
      <c r="L65" s="12">
        <f>IF(OR(J65="",NOT(ISNUMBER(K65))),"",ROUND(J65-K65,Shipment!$D$22))</f>
        <v/>
      </c>
      <c r="M65" s="10" t="n"/>
      <c r="N65" s="10" t="n"/>
      <c r="O65" s="6" t="n"/>
    </row>
    <row r="66" ht="30" customHeight="1">
      <c r="A66" s="5" t="n"/>
      <c r="B66" s="5" t="n"/>
      <c r="C66" s="5" t="n"/>
      <c r="D66" s="5" t="n"/>
      <c r="E66" s="11" t="n"/>
      <c r="F66" s="5" t="n"/>
      <c r="G66" s="11" t="n"/>
      <c r="H66" s="11" t="n"/>
      <c r="I66" s="5" t="n"/>
      <c r="J66" s="11" t="n"/>
      <c r="K66" s="12">
        <f>IF(OR(E66="",G66="",H66="",Shipment!$D$22=""),"",IF(H66&lt;=0,"INVALID BASIS",ROUND(E66*G66/H66,Shipment!$D$22)))</f>
        <v/>
      </c>
      <c r="L66" s="12">
        <f>IF(OR(J66="",NOT(ISNUMBER(K66))),"",ROUND(J66-K66,Shipment!$D$22))</f>
        <v/>
      </c>
      <c r="M66" s="11" t="n"/>
      <c r="N66" s="11" t="n"/>
      <c r="O66" s="5" t="n"/>
    </row>
    <row r="67" ht="30" customHeight="1">
      <c r="A67" s="6" t="n"/>
      <c r="B67" s="6" t="n"/>
      <c r="C67" s="6" t="n"/>
      <c r="D67" s="6" t="n"/>
      <c r="E67" s="10" t="n"/>
      <c r="F67" s="6" t="n"/>
      <c r="G67" s="10" t="n"/>
      <c r="H67" s="10" t="n"/>
      <c r="I67" s="6" t="n"/>
      <c r="J67" s="10" t="n"/>
      <c r="K67" s="12">
        <f>IF(OR(E67="",G67="",H67="",Shipment!$D$22=""),"",IF(H67&lt;=0,"INVALID BASIS",ROUND(E67*G67/H67,Shipment!$D$22)))</f>
        <v/>
      </c>
      <c r="L67" s="12">
        <f>IF(OR(J67="",NOT(ISNUMBER(K67))),"",ROUND(J67-K67,Shipment!$D$22))</f>
        <v/>
      </c>
      <c r="M67" s="10" t="n"/>
      <c r="N67" s="10" t="n"/>
      <c r="O67" s="6" t="n"/>
    </row>
    <row r="68" ht="30" customHeight="1">
      <c r="A68" s="5" t="n"/>
      <c r="B68" s="5" t="n"/>
      <c r="C68" s="5" t="n"/>
      <c r="D68" s="5" t="n"/>
      <c r="E68" s="11" t="n"/>
      <c r="F68" s="5" t="n"/>
      <c r="G68" s="11" t="n"/>
      <c r="H68" s="11" t="n"/>
      <c r="I68" s="5" t="n"/>
      <c r="J68" s="11" t="n"/>
      <c r="K68" s="12">
        <f>IF(OR(E68="",G68="",H68="",Shipment!$D$22=""),"",IF(H68&lt;=0,"INVALID BASIS",ROUND(E68*G68/H68,Shipment!$D$22)))</f>
        <v/>
      </c>
      <c r="L68" s="12">
        <f>IF(OR(J68="",NOT(ISNUMBER(K68))),"",ROUND(J68-K68,Shipment!$D$22))</f>
        <v/>
      </c>
      <c r="M68" s="11" t="n"/>
      <c r="N68" s="11" t="n"/>
      <c r="O68" s="5" t="n"/>
    </row>
    <row r="69" ht="30" customHeight="1">
      <c r="A69" s="6" t="n"/>
      <c r="B69" s="6" t="n"/>
      <c r="C69" s="6" t="n"/>
      <c r="D69" s="6" t="n"/>
      <c r="E69" s="10" t="n"/>
      <c r="F69" s="6" t="n"/>
      <c r="G69" s="10" t="n"/>
      <c r="H69" s="10" t="n"/>
      <c r="I69" s="6" t="n"/>
      <c r="J69" s="10" t="n"/>
      <c r="K69" s="12">
        <f>IF(OR(E69="",G69="",H69="",Shipment!$D$22=""),"",IF(H69&lt;=0,"INVALID BASIS",ROUND(E69*G69/H69,Shipment!$D$22)))</f>
        <v/>
      </c>
      <c r="L69" s="12">
        <f>IF(OR(J69="",NOT(ISNUMBER(K69))),"",ROUND(J69-K69,Shipment!$D$22))</f>
        <v/>
      </c>
      <c r="M69" s="10" t="n"/>
      <c r="N69" s="10" t="n"/>
      <c r="O69" s="6" t="n"/>
    </row>
    <row r="70" ht="30" customHeight="1">
      <c r="A70" s="5" t="n"/>
      <c r="B70" s="5" t="n"/>
      <c r="C70" s="5" t="n"/>
      <c r="D70" s="5" t="n"/>
      <c r="E70" s="11" t="n"/>
      <c r="F70" s="5" t="n"/>
      <c r="G70" s="11" t="n"/>
      <c r="H70" s="11" t="n"/>
      <c r="I70" s="5" t="n"/>
      <c r="J70" s="11" t="n"/>
      <c r="K70" s="12">
        <f>IF(OR(E70="",G70="",H70="",Shipment!$D$22=""),"",IF(H70&lt;=0,"INVALID BASIS",ROUND(E70*G70/H70,Shipment!$D$22)))</f>
        <v/>
      </c>
      <c r="L70" s="12">
        <f>IF(OR(J70="",NOT(ISNUMBER(K70))),"",ROUND(J70-K70,Shipment!$D$22))</f>
        <v/>
      </c>
      <c r="M70" s="11" t="n"/>
      <c r="N70" s="11" t="n"/>
      <c r="O70" s="5" t="n"/>
    </row>
    <row r="71" ht="30" customHeight="1">
      <c r="A71" s="6" t="n"/>
      <c r="B71" s="6" t="n"/>
      <c r="C71" s="6" t="n"/>
      <c r="D71" s="6" t="n"/>
      <c r="E71" s="10" t="n"/>
      <c r="F71" s="6" t="n"/>
      <c r="G71" s="10" t="n"/>
      <c r="H71" s="10" t="n"/>
      <c r="I71" s="6" t="n"/>
      <c r="J71" s="10" t="n"/>
      <c r="K71" s="12">
        <f>IF(OR(E71="",G71="",H71="",Shipment!$D$22=""),"",IF(H71&lt;=0,"INVALID BASIS",ROUND(E71*G71/H71,Shipment!$D$22)))</f>
        <v/>
      </c>
      <c r="L71" s="12">
        <f>IF(OR(J71="",NOT(ISNUMBER(K71))),"",ROUND(J71-K71,Shipment!$D$22))</f>
        <v/>
      </c>
      <c r="M71" s="10" t="n"/>
      <c r="N71" s="10" t="n"/>
      <c r="O71" s="6" t="n"/>
    </row>
    <row r="72" ht="30" customHeight="1">
      <c r="A72" s="5" t="n"/>
      <c r="B72" s="5" t="n"/>
      <c r="C72" s="5" t="n"/>
      <c r="D72" s="5" t="n"/>
      <c r="E72" s="11" t="n"/>
      <c r="F72" s="5" t="n"/>
      <c r="G72" s="11" t="n"/>
      <c r="H72" s="11" t="n"/>
      <c r="I72" s="5" t="n"/>
      <c r="J72" s="11" t="n"/>
      <c r="K72" s="12">
        <f>IF(OR(E72="",G72="",H72="",Shipment!$D$22=""),"",IF(H72&lt;=0,"INVALID BASIS",ROUND(E72*G72/H72,Shipment!$D$22)))</f>
        <v/>
      </c>
      <c r="L72" s="12">
        <f>IF(OR(J72="",NOT(ISNUMBER(K72))),"",ROUND(J72-K72,Shipment!$D$22))</f>
        <v/>
      </c>
      <c r="M72" s="11" t="n"/>
      <c r="N72" s="11" t="n"/>
      <c r="O72" s="5" t="n"/>
    </row>
    <row r="73" ht="30" customHeight="1">
      <c r="A73" s="6" t="n"/>
      <c r="B73" s="6" t="n"/>
      <c r="C73" s="6" t="n"/>
      <c r="D73" s="6" t="n"/>
      <c r="E73" s="10" t="n"/>
      <c r="F73" s="6" t="n"/>
      <c r="G73" s="10" t="n"/>
      <c r="H73" s="10" t="n"/>
      <c r="I73" s="6" t="n"/>
      <c r="J73" s="10" t="n"/>
      <c r="K73" s="12">
        <f>IF(OR(E73="",G73="",H73="",Shipment!$D$22=""),"",IF(H73&lt;=0,"INVALID BASIS",ROUND(E73*G73/H73,Shipment!$D$22)))</f>
        <v/>
      </c>
      <c r="L73" s="12">
        <f>IF(OR(J73="",NOT(ISNUMBER(K73))),"",ROUND(J73-K73,Shipment!$D$22))</f>
        <v/>
      </c>
      <c r="M73" s="10" t="n"/>
      <c r="N73" s="10" t="n"/>
      <c r="O73" s="6" t="n"/>
    </row>
    <row r="74" ht="30" customHeight="1">
      <c r="A74" s="5" t="n"/>
      <c r="B74" s="5" t="n"/>
      <c r="C74" s="5" t="n"/>
      <c r="D74" s="5" t="n"/>
      <c r="E74" s="11" t="n"/>
      <c r="F74" s="5" t="n"/>
      <c r="G74" s="11" t="n"/>
      <c r="H74" s="11" t="n"/>
      <c r="I74" s="5" t="n"/>
      <c r="J74" s="11" t="n"/>
      <c r="K74" s="12">
        <f>IF(OR(E74="",G74="",H74="",Shipment!$D$22=""),"",IF(H74&lt;=0,"INVALID BASIS",ROUND(E74*G74/H74,Shipment!$D$22)))</f>
        <v/>
      </c>
      <c r="L74" s="12">
        <f>IF(OR(J74="",NOT(ISNUMBER(K74))),"",ROUND(J74-K74,Shipment!$D$22))</f>
        <v/>
      </c>
      <c r="M74" s="11" t="n"/>
      <c r="N74" s="11" t="n"/>
      <c r="O74" s="5" t="n"/>
    </row>
    <row r="75" ht="30" customHeight="1">
      <c r="A75" s="6" t="n"/>
      <c r="B75" s="6" t="n"/>
      <c r="C75" s="6" t="n"/>
      <c r="D75" s="6" t="n"/>
      <c r="E75" s="10" t="n"/>
      <c r="F75" s="6" t="n"/>
      <c r="G75" s="10" t="n"/>
      <c r="H75" s="10" t="n"/>
      <c r="I75" s="6" t="n"/>
      <c r="J75" s="10" t="n"/>
      <c r="K75" s="12">
        <f>IF(OR(E75="",G75="",H75="",Shipment!$D$22=""),"",IF(H75&lt;=0,"INVALID BASIS",ROUND(E75*G75/H75,Shipment!$D$22)))</f>
        <v/>
      </c>
      <c r="L75" s="12">
        <f>IF(OR(J75="",NOT(ISNUMBER(K75))),"",ROUND(J75-K75,Shipment!$D$22))</f>
        <v/>
      </c>
      <c r="M75" s="10" t="n"/>
      <c r="N75" s="10" t="n"/>
      <c r="O75" s="6" t="n"/>
    </row>
    <row r="76" ht="30" customHeight="1">
      <c r="A76" s="5" t="n"/>
      <c r="B76" s="5" t="n"/>
      <c r="C76" s="5" t="n"/>
      <c r="D76" s="5" t="n"/>
      <c r="E76" s="11" t="n"/>
      <c r="F76" s="5" t="n"/>
      <c r="G76" s="11" t="n"/>
      <c r="H76" s="11" t="n"/>
      <c r="I76" s="5" t="n"/>
      <c r="J76" s="11" t="n"/>
      <c r="K76" s="12">
        <f>IF(OR(E76="",G76="",H76="",Shipment!$D$22=""),"",IF(H76&lt;=0,"INVALID BASIS",ROUND(E76*G76/H76,Shipment!$D$22)))</f>
        <v/>
      </c>
      <c r="L76" s="12">
        <f>IF(OR(J76="",NOT(ISNUMBER(K76))),"",ROUND(J76-K76,Shipment!$D$22))</f>
        <v/>
      </c>
      <c r="M76" s="11" t="n"/>
      <c r="N76" s="11" t="n"/>
      <c r="O76" s="5" t="n"/>
    </row>
    <row r="77" ht="30" customHeight="1">
      <c r="A77" s="6" t="n"/>
      <c r="B77" s="6" t="n"/>
      <c r="C77" s="6" t="n"/>
      <c r="D77" s="6" t="n"/>
      <c r="E77" s="10" t="n"/>
      <c r="F77" s="6" t="n"/>
      <c r="G77" s="10" t="n"/>
      <c r="H77" s="10" t="n"/>
      <c r="I77" s="6" t="n"/>
      <c r="J77" s="10" t="n"/>
      <c r="K77" s="12">
        <f>IF(OR(E77="",G77="",H77="",Shipment!$D$22=""),"",IF(H77&lt;=0,"INVALID BASIS",ROUND(E77*G77/H77,Shipment!$D$22)))</f>
        <v/>
      </c>
      <c r="L77" s="12">
        <f>IF(OR(J77="",NOT(ISNUMBER(K77))),"",ROUND(J77-K77,Shipment!$D$22))</f>
        <v/>
      </c>
      <c r="M77" s="10" t="n"/>
      <c r="N77" s="10" t="n"/>
      <c r="O77" s="6" t="n"/>
    </row>
    <row r="78" ht="30" customHeight="1">
      <c r="A78" s="5" t="n"/>
      <c r="B78" s="5" t="n"/>
      <c r="C78" s="5" t="n"/>
      <c r="D78" s="5" t="n"/>
      <c r="E78" s="11" t="n"/>
      <c r="F78" s="5" t="n"/>
      <c r="G78" s="11" t="n"/>
      <c r="H78" s="11" t="n"/>
      <c r="I78" s="5" t="n"/>
      <c r="J78" s="11" t="n"/>
      <c r="K78" s="12">
        <f>IF(OR(E78="",G78="",H78="",Shipment!$D$22=""),"",IF(H78&lt;=0,"INVALID BASIS",ROUND(E78*G78/H78,Shipment!$D$22)))</f>
        <v/>
      </c>
      <c r="L78" s="12">
        <f>IF(OR(J78="",NOT(ISNUMBER(K78))),"",ROUND(J78-K78,Shipment!$D$22))</f>
        <v/>
      </c>
      <c r="M78" s="11" t="n"/>
      <c r="N78" s="11" t="n"/>
      <c r="O78" s="5" t="n"/>
    </row>
    <row r="79" ht="30" customHeight="1">
      <c r="A79" s="6" t="n"/>
      <c r="B79" s="6" t="n"/>
      <c r="C79" s="6" t="n"/>
      <c r="D79" s="6" t="n"/>
      <c r="E79" s="10" t="n"/>
      <c r="F79" s="6" t="n"/>
      <c r="G79" s="10" t="n"/>
      <c r="H79" s="10" t="n"/>
      <c r="I79" s="6" t="n"/>
      <c r="J79" s="10" t="n"/>
      <c r="K79" s="12">
        <f>IF(OR(E79="",G79="",H79="",Shipment!$D$22=""),"",IF(H79&lt;=0,"INVALID BASIS",ROUND(E79*G79/H79,Shipment!$D$22)))</f>
        <v/>
      </c>
      <c r="L79" s="12">
        <f>IF(OR(J79="",NOT(ISNUMBER(K79))),"",ROUND(J79-K79,Shipment!$D$22))</f>
        <v/>
      </c>
      <c r="M79" s="10" t="n"/>
      <c r="N79" s="10" t="n"/>
      <c r="O79" s="6" t="n"/>
    </row>
    <row r="80" ht="30" customHeight="1">
      <c r="A80" s="5" t="n"/>
      <c r="B80" s="5" t="n"/>
      <c r="C80" s="5" t="n"/>
      <c r="D80" s="5" t="n"/>
      <c r="E80" s="11" t="n"/>
      <c r="F80" s="5" t="n"/>
      <c r="G80" s="11" t="n"/>
      <c r="H80" s="11" t="n"/>
      <c r="I80" s="5" t="n"/>
      <c r="J80" s="11" t="n"/>
      <c r="K80" s="12">
        <f>IF(OR(E80="",G80="",H80="",Shipment!$D$22=""),"",IF(H80&lt;=0,"INVALID BASIS",ROUND(E80*G80/H80,Shipment!$D$22)))</f>
        <v/>
      </c>
      <c r="L80" s="12">
        <f>IF(OR(J80="",NOT(ISNUMBER(K80))),"",ROUND(J80-K80,Shipment!$D$22))</f>
        <v/>
      </c>
      <c r="M80" s="11" t="n"/>
      <c r="N80" s="11" t="n"/>
      <c r="O80" s="5" t="n"/>
    </row>
    <row r="81" ht="30" customHeight="1">
      <c r="A81" s="6" t="n"/>
      <c r="B81" s="6" t="n"/>
      <c r="C81" s="6" t="n"/>
      <c r="D81" s="6" t="n"/>
      <c r="E81" s="10" t="n"/>
      <c r="F81" s="6" t="n"/>
      <c r="G81" s="10" t="n"/>
      <c r="H81" s="10" t="n"/>
      <c r="I81" s="6" t="n"/>
      <c r="J81" s="10" t="n"/>
      <c r="K81" s="12">
        <f>IF(OR(E81="",G81="",H81="",Shipment!$D$22=""),"",IF(H81&lt;=0,"INVALID BASIS",ROUND(E81*G81/H81,Shipment!$D$22)))</f>
        <v/>
      </c>
      <c r="L81" s="12">
        <f>IF(OR(J81="",NOT(ISNUMBER(K81))),"",ROUND(J81-K81,Shipment!$D$22))</f>
        <v/>
      </c>
      <c r="M81" s="10" t="n"/>
      <c r="N81" s="10" t="n"/>
      <c r="O81" s="6" t="n"/>
    </row>
    <row r="82" ht="30" customHeight="1">
      <c r="A82" s="5" t="n"/>
      <c r="B82" s="5" t="n"/>
      <c r="C82" s="5" t="n"/>
      <c r="D82" s="5" t="n"/>
      <c r="E82" s="11" t="n"/>
      <c r="F82" s="5" t="n"/>
      <c r="G82" s="11" t="n"/>
      <c r="H82" s="11" t="n"/>
      <c r="I82" s="5" t="n"/>
      <c r="J82" s="11" t="n"/>
      <c r="K82" s="12">
        <f>IF(OR(E82="",G82="",H82="",Shipment!$D$22=""),"",IF(H82&lt;=0,"INVALID BASIS",ROUND(E82*G82/H82,Shipment!$D$22)))</f>
        <v/>
      </c>
      <c r="L82" s="12">
        <f>IF(OR(J82="",NOT(ISNUMBER(K82))),"",ROUND(J82-K82,Shipment!$D$22))</f>
        <v/>
      </c>
      <c r="M82" s="11" t="n"/>
      <c r="N82" s="11" t="n"/>
      <c r="O82" s="5" t="n"/>
    </row>
    <row r="83" ht="30" customHeight="1">
      <c r="A83" s="6" t="n"/>
      <c r="B83" s="6" t="n"/>
      <c r="C83" s="6" t="n"/>
      <c r="D83" s="6" t="n"/>
      <c r="E83" s="10" t="n"/>
      <c r="F83" s="6" t="n"/>
      <c r="G83" s="10" t="n"/>
      <c r="H83" s="10" t="n"/>
      <c r="I83" s="6" t="n"/>
      <c r="J83" s="10" t="n"/>
      <c r="K83" s="12">
        <f>IF(OR(E83="",G83="",H83="",Shipment!$D$22=""),"",IF(H83&lt;=0,"INVALID BASIS",ROUND(E83*G83/H83,Shipment!$D$22)))</f>
        <v/>
      </c>
      <c r="L83" s="12">
        <f>IF(OR(J83="",NOT(ISNUMBER(K83))),"",ROUND(J83-K83,Shipment!$D$22))</f>
        <v/>
      </c>
      <c r="M83" s="10" t="n"/>
      <c r="N83" s="10" t="n"/>
      <c r="O83" s="6" t="n"/>
    </row>
    <row r="84" ht="30" customHeight="1">
      <c r="A84" s="5" t="n"/>
      <c r="B84" s="5" t="n"/>
      <c r="C84" s="5" t="n"/>
      <c r="D84" s="5" t="n"/>
      <c r="E84" s="11" t="n"/>
      <c r="F84" s="5" t="n"/>
      <c r="G84" s="11" t="n"/>
      <c r="H84" s="11" t="n"/>
      <c r="I84" s="5" t="n"/>
      <c r="J84" s="11" t="n"/>
      <c r="K84" s="12">
        <f>IF(OR(E84="",G84="",H84="",Shipment!$D$22=""),"",IF(H84&lt;=0,"INVALID BASIS",ROUND(E84*G84/H84,Shipment!$D$22)))</f>
        <v/>
      </c>
      <c r="L84" s="12">
        <f>IF(OR(J84="",NOT(ISNUMBER(K84))),"",ROUND(J84-K84,Shipment!$D$22))</f>
        <v/>
      </c>
      <c r="M84" s="11" t="n"/>
      <c r="N84" s="11" t="n"/>
      <c r="O84" s="5" t="n"/>
    </row>
    <row r="85" ht="30" customHeight="1">
      <c r="A85" s="6" t="n"/>
      <c r="B85" s="6" t="n"/>
      <c r="C85" s="6" t="n"/>
      <c r="D85" s="6" t="n"/>
      <c r="E85" s="10" t="n"/>
      <c r="F85" s="6" t="n"/>
      <c r="G85" s="10" t="n"/>
      <c r="H85" s="10" t="n"/>
      <c r="I85" s="6" t="n"/>
      <c r="J85" s="10" t="n"/>
      <c r="K85" s="12">
        <f>IF(OR(E85="",G85="",H85="",Shipment!$D$22=""),"",IF(H85&lt;=0,"INVALID BASIS",ROUND(E85*G85/H85,Shipment!$D$22)))</f>
        <v/>
      </c>
      <c r="L85" s="12">
        <f>IF(OR(J85="",NOT(ISNUMBER(K85))),"",ROUND(J85-K85,Shipment!$D$22))</f>
        <v/>
      </c>
      <c r="M85" s="10" t="n"/>
      <c r="N85" s="10" t="n"/>
      <c r="O85" s="6" t="n"/>
    </row>
    <row r="86" ht="30" customHeight="1">
      <c r="A86" s="5" t="n"/>
      <c r="B86" s="5" t="n"/>
      <c r="C86" s="5" t="n"/>
      <c r="D86" s="5" t="n"/>
      <c r="E86" s="11" t="n"/>
      <c r="F86" s="5" t="n"/>
      <c r="G86" s="11" t="n"/>
      <c r="H86" s="11" t="n"/>
      <c r="I86" s="5" t="n"/>
      <c r="J86" s="11" t="n"/>
      <c r="K86" s="12">
        <f>IF(OR(E86="",G86="",H86="",Shipment!$D$22=""),"",IF(H86&lt;=0,"INVALID BASIS",ROUND(E86*G86/H86,Shipment!$D$22)))</f>
        <v/>
      </c>
      <c r="L86" s="12">
        <f>IF(OR(J86="",NOT(ISNUMBER(K86))),"",ROUND(J86-K86,Shipment!$D$22))</f>
        <v/>
      </c>
      <c r="M86" s="11" t="n"/>
      <c r="N86" s="11" t="n"/>
      <c r="O86" s="5" t="n"/>
    </row>
    <row r="87" ht="30" customHeight="1">
      <c r="A87" s="6" t="n"/>
      <c r="B87" s="6" t="n"/>
      <c r="C87" s="6" t="n"/>
      <c r="D87" s="6" t="n"/>
      <c r="E87" s="10" t="n"/>
      <c r="F87" s="6" t="n"/>
      <c r="G87" s="10" t="n"/>
      <c r="H87" s="10" t="n"/>
      <c r="I87" s="6" t="n"/>
      <c r="J87" s="10" t="n"/>
      <c r="K87" s="12">
        <f>IF(OR(E87="",G87="",H87="",Shipment!$D$22=""),"",IF(H87&lt;=0,"INVALID BASIS",ROUND(E87*G87/H87,Shipment!$D$22)))</f>
        <v/>
      </c>
      <c r="L87" s="12">
        <f>IF(OR(J87="",NOT(ISNUMBER(K87))),"",ROUND(J87-K87,Shipment!$D$22))</f>
        <v/>
      </c>
      <c r="M87" s="10" t="n"/>
      <c r="N87" s="10" t="n"/>
      <c r="O87" s="6" t="n"/>
    </row>
    <row r="88" ht="30" customHeight="1">
      <c r="A88" s="5" t="n"/>
      <c r="B88" s="5" t="n"/>
      <c r="C88" s="5" t="n"/>
      <c r="D88" s="5" t="n"/>
      <c r="E88" s="11" t="n"/>
      <c r="F88" s="5" t="n"/>
      <c r="G88" s="11" t="n"/>
      <c r="H88" s="11" t="n"/>
      <c r="I88" s="5" t="n"/>
      <c r="J88" s="11" t="n"/>
      <c r="K88" s="12">
        <f>IF(OR(E88="",G88="",H88="",Shipment!$D$22=""),"",IF(H88&lt;=0,"INVALID BASIS",ROUND(E88*G88/H88,Shipment!$D$22)))</f>
        <v/>
      </c>
      <c r="L88" s="12">
        <f>IF(OR(J88="",NOT(ISNUMBER(K88))),"",ROUND(J88-K88,Shipment!$D$22))</f>
        <v/>
      </c>
      <c r="M88" s="11" t="n"/>
      <c r="N88" s="11" t="n"/>
      <c r="O88" s="5" t="n"/>
    </row>
    <row r="89" ht="30" customHeight="1">
      <c r="A89" s="6" t="n"/>
      <c r="B89" s="6" t="n"/>
      <c r="C89" s="6" t="n"/>
      <c r="D89" s="6" t="n"/>
      <c r="E89" s="10" t="n"/>
      <c r="F89" s="6" t="n"/>
      <c r="G89" s="10" t="n"/>
      <c r="H89" s="10" t="n"/>
      <c r="I89" s="6" t="n"/>
      <c r="J89" s="10" t="n"/>
      <c r="K89" s="12">
        <f>IF(OR(E89="",G89="",H89="",Shipment!$D$22=""),"",IF(H89&lt;=0,"INVALID BASIS",ROUND(E89*G89/H89,Shipment!$D$22)))</f>
        <v/>
      </c>
      <c r="L89" s="12">
        <f>IF(OR(J89="",NOT(ISNUMBER(K89))),"",ROUND(J89-K89,Shipment!$D$22))</f>
        <v/>
      </c>
      <c r="M89" s="10" t="n"/>
      <c r="N89" s="10" t="n"/>
      <c r="O89" s="6" t="n"/>
    </row>
    <row r="90" ht="30" customHeight="1">
      <c r="A90" s="5" t="n"/>
      <c r="B90" s="5" t="n"/>
      <c r="C90" s="5" t="n"/>
      <c r="D90" s="5" t="n"/>
      <c r="E90" s="11" t="n"/>
      <c r="F90" s="5" t="n"/>
      <c r="G90" s="11" t="n"/>
      <c r="H90" s="11" t="n"/>
      <c r="I90" s="5" t="n"/>
      <c r="J90" s="11" t="n"/>
      <c r="K90" s="12">
        <f>IF(OR(E90="",G90="",H90="",Shipment!$D$22=""),"",IF(H90&lt;=0,"INVALID BASIS",ROUND(E90*G90/H90,Shipment!$D$22)))</f>
        <v/>
      </c>
      <c r="L90" s="12">
        <f>IF(OR(J90="",NOT(ISNUMBER(K90))),"",ROUND(J90-K90,Shipment!$D$22))</f>
        <v/>
      </c>
      <c r="M90" s="11" t="n"/>
      <c r="N90" s="11" t="n"/>
      <c r="O90" s="5" t="n"/>
    </row>
    <row r="91" ht="30" customHeight="1">
      <c r="A91" s="6" t="n"/>
      <c r="B91" s="6" t="n"/>
      <c r="C91" s="6" t="n"/>
      <c r="D91" s="6" t="n"/>
      <c r="E91" s="10" t="n"/>
      <c r="F91" s="6" t="n"/>
      <c r="G91" s="10" t="n"/>
      <c r="H91" s="10" t="n"/>
      <c r="I91" s="6" t="n"/>
      <c r="J91" s="10" t="n"/>
      <c r="K91" s="12">
        <f>IF(OR(E91="",G91="",H91="",Shipment!$D$22=""),"",IF(H91&lt;=0,"INVALID BASIS",ROUND(E91*G91/H91,Shipment!$D$22)))</f>
        <v/>
      </c>
      <c r="L91" s="12">
        <f>IF(OR(J91="",NOT(ISNUMBER(K91))),"",ROUND(J91-K91,Shipment!$D$22))</f>
        <v/>
      </c>
      <c r="M91" s="10" t="n"/>
      <c r="N91" s="10" t="n"/>
      <c r="O91" s="6" t="n"/>
    </row>
    <row r="92" ht="30" customHeight="1">
      <c r="A92" s="5" t="n"/>
      <c r="B92" s="5" t="n"/>
      <c r="C92" s="5" t="n"/>
      <c r="D92" s="5" t="n"/>
      <c r="E92" s="11" t="n"/>
      <c r="F92" s="5" t="n"/>
      <c r="G92" s="11" t="n"/>
      <c r="H92" s="11" t="n"/>
      <c r="I92" s="5" t="n"/>
      <c r="J92" s="11" t="n"/>
      <c r="K92" s="12">
        <f>IF(OR(E92="",G92="",H92="",Shipment!$D$22=""),"",IF(H92&lt;=0,"INVALID BASIS",ROUND(E92*G92/H92,Shipment!$D$22)))</f>
        <v/>
      </c>
      <c r="L92" s="12">
        <f>IF(OR(J92="",NOT(ISNUMBER(K92))),"",ROUND(J92-K92,Shipment!$D$22))</f>
        <v/>
      </c>
      <c r="M92" s="11" t="n"/>
      <c r="N92" s="11" t="n"/>
      <c r="O92" s="5" t="n"/>
    </row>
    <row r="93" ht="30" customHeight="1">
      <c r="A93" s="6" t="n"/>
      <c r="B93" s="6" t="n"/>
      <c r="C93" s="6" t="n"/>
      <c r="D93" s="6" t="n"/>
      <c r="E93" s="10" t="n"/>
      <c r="F93" s="6" t="n"/>
      <c r="G93" s="10" t="n"/>
      <c r="H93" s="10" t="n"/>
      <c r="I93" s="6" t="n"/>
      <c r="J93" s="10" t="n"/>
      <c r="K93" s="12">
        <f>IF(OR(E93="",G93="",H93="",Shipment!$D$22=""),"",IF(H93&lt;=0,"INVALID BASIS",ROUND(E93*G93/H93,Shipment!$D$22)))</f>
        <v/>
      </c>
      <c r="L93" s="12">
        <f>IF(OR(J93="",NOT(ISNUMBER(K93))),"",ROUND(J93-K93,Shipment!$D$22))</f>
        <v/>
      </c>
      <c r="M93" s="10" t="n"/>
      <c r="N93" s="10" t="n"/>
      <c r="O93" s="6" t="n"/>
    </row>
    <row r="94" ht="30" customHeight="1">
      <c r="A94" s="5" t="n"/>
      <c r="B94" s="5" t="n"/>
      <c r="C94" s="5" t="n"/>
      <c r="D94" s="5" t="n"/>
      <c r="E94" s="11" t="n"/>
      <c r="F94" s="5" t="n"/>
      <c r="G94" s="11" t="n"/>
      <c r="H94" s="11" t="n"/>
      <c r="I94" s="5" t="n"/>
      <c r="J94" s="11" t="n"/>
      <c r="K94" s="12">
        <f>IF(OR(E94="",G94="",H94="",Shipment!$D$22=""),"",IF(H94&lt;=0,"INVALID BASIS",ROUND(E94*G94/H94,Shipment!$D$22)))</f>
        <v/>
      </c>
      <c r="L94" s="12">
        <f>IF(OR(J94="",NOT(ISNUMBER(K94))),"",ROUND(J94-K94,Shipment!$D$22))</f>
        <v/>
      </c>
      <c r="M94" s="11" t="n"/>
      <c r="N94" s="11" t="n"/>
      <c r="O94" s="5" t="n"/>
    </row>
    <row r="95" ht="30" customHeight="1">
      <c r="A95" s="6" t="n"/>
      <c r="B95" s="6" t="n"/>
      <c r="C95" s="6" t="n"/>
      <c r="D95" s="6" t="n"/>
      <c r="E95" s="10" t="n"/>
      <c r="F95" s="6" t="n"/>
      <c r="G95" s="10" t="n"/>
      <c r="H95" s="10" t="n"/>
      <c r="I95" s="6" t="n"/>
      <c r="J95" s="10" t="n"/>
      <c r="K95" s="12">
        <f>IF(OR(E95="",G95="",H95="",Shipment!$D$22=""),"",IF(H95&lt;=0,"INVALID BASIS",ROUND(E95*G95/H95,Shipment!$D$22)))</f>
        <v/>
      </c>
      <c r="L95" s="12">
        <f>IF(OR(J95="",NOT(ISNUMBER(K95))),"",ROUND(J95-K95,Shipment!$D$22))</f>
        <v/>
      </c>
      <c r="M95" s="10" t="n"/>
      <c r="N95" s="10" t="n"/>
      <c r="O95" s="6" t="n"/>
    </row>
    <row r="96" ht="30" customHeight="1">
      <c r="A96" s="5" t="n"/>
      <c r="B96" s="5" t="n"/>
      <c r="C96" s="5" t="n"/>
      <c r="D96" s="5" t="n"/>
      <c r="E96" s="11" t="n"/>
      <c r="F96" s="5" t="n"/>
      <c r="G96" s="11" t="n"/>
      <c r="H96" s="11" t="n"/>
      <c r="I96" s="5" t="n"/>
      <c r="J96" s="11" t="n"/>
      <c r="K96" s="12">
        <f>IF(OR(E96="",G96="",H96="",Shipment!$D$22=""),"",IF(H96&lt;=0,"INVALID BASIS",ROUND(E96*G96/H96,Shipment!$D$22)))</f>
        <v/>
      </c>
      <c r="L96" s="12">
        <f>IF(OR(J96="",NOT(ISNUMBER(K96))),"",ROUND(J96-K96,Shipment!$D$22))</f>
        <v/>
      </c>
      <c r="M96" s="11" t="n"/>
      <c r="N96" s="11" t="n"/>
      <c r="O96" s="5" t="n"/>
    </row>
    <row r="97" ht="30" customHeight="1">
      <c r="A97" s="6" t="n"/>
      <c r="B97" s="6" t="n"/>
      <c r="C97" s="6" t="n"/>
      <c r="D97" s="6" t="n"/>
      <c r="E97" s="10" t="n"/>
      <c r="F97" s="6" t="n"/>
      <c r="G97" s="10" t="n"/>
      <c r="H97" s="10" t="n"/>
      <c r="I97" s="6" t="n"/>
      <c r="J97" s="10" t="n"/>
      <c r="K97" s="12">
        <f>IF(OR(E97="",G97="",H97="",Shipment!$D$22=""),"",IF(H97&lt;=0,"INVALID BASIS",ROUND(E97*G97/H97,Shipment!$D$22)))</f>
        <v/>
      </c>
      <c r="L97" s="12">
        <f>IF(OR(J97="",NOT(ISNUMBER(K97))),"",ROUND(J97-K97,Shipment!$D$22))</f>
        <v/>
      </c>
      <c r="M97" s="10" t="n"/>
      <c r="N97" s="10" t="n"/>
      <c r="O97" s="6" t="n"/>
    </row>
    <row r="98" ht="30" customHeight="1">
      <c r="A98" s="5" t="n"/>
      <c r="B98" s="5" t="n"/>
      <c r="C98" s="5" t="n"/>
      <c r="D98" s="5" t="n"/>
      <c r="E98" s="11" t="n"/>
      <c r="F98" s="5" t="n"/>
      <c r="G98" s="11" t="n"/>
      <c r="H98" s="11" t="n"/>
      <c r="I98" s="5" t="n"/>
      <c r="J98" s="11" t="n"/>
      <c r="K98" s="12">
        <f>IF(OR(E98="",G98="",H98="",Shipment!$D$22=""),"",IF(H98&lt;=0,"INVALID BASIS",ROUND(E98*G98/H98,Shipment!$D$22)))</f>
        <v/>
      </c>
      <c r="L98" s="12">
        <f>IF(OR(J98="",NOT(ISNUMBER(K98))),"",ROUND(J98-K98,Shipment!$D$22))</f>
        <v/>
      </c>
      <c r="M98" s="11" t="n"/>
      <c r="N98" s="11" t="n"/>
      <c r="O98" s="5" t="n"/>
    </row>
    <row r="99" ht="30" customHeight="1">
      <c r="A99" s="6" t="n"/>
      <c r="B99" s="6" t="n"/>
      <c r="C99" s="6" t="n"/>
      <c r="D99" s="6" t="n"/>
      <c r="E99" s="10" t="n"/>
      <c r="F99" s="6" t="n"/>
      <c r="G99" s="10" t="n"/>
      <c r="H99" s="10" t="n"/>
      <c r="I99" s="6" t="n"/>
      <c r="J99" s="10" t="n"/>
      <c r="K99" s="12">
        <f>IF(OR(E99="",G99="",H99="",Shipment!$D$22=""),"",IF(H99&lt;=0,"INVALID BASIS",ROUND(E99*G99/H99,Shipment!$D$22)))</f>
        <v/>
      </c>
      <c r="L99" s="12">
        <f>IF(OR(J99="",NOT(ISNUMBER(K99))),"",ROUND(J99-K99,Shipment!$D$22))</f>
        <v/>
      </c>
      <c r="M99" s="10" t="n"/>
      <c r="N99" s="10" t="n"/>
      <c r="O99" s="6" t="n"/>
    </row>
    <row r="100" ht="30" customHeight="1">
      <c r="A100" s="5" t="n"/>
      <c r="B100" s="5" t="n"/>
      <c r="C100" s="5" t="n"/>
      <c r="D100" s="5" t="n"/>
      <c r="E100" s="11" t="n"/>
      <c r="F100" s="5" t="n"/>
      <c r="G100" s="11" t="n"/>
      <c r="H100" s="11" t="n"/>
      <c r="I100" s="5" t="n"/>
      <c r="J100" s="11" t="n"/>
      <c r="K100" s="12">
        <f>IF(OR(E100="",G100="",H100="",Shipment!$D$22=""),"",IF(H100&lt;=0,"INVALID BASIS",ROUND(E100*G100/H100,Shipment!$D$22)))</f>
        <v/>
      </c>
      <c r="L100" s="12">
        <f>IF(OR(J100="",NOT(ISNUMBER(K100))),"",ROUND(J100-K100,Shipment!$D$22))</f>
        <v/>
      </c>
      <c r="M100" s="11" t="n"/>
      <c r="N100" s="11" t="n"/>
      <c r="O100" s="5" t="n"/>
    </row>
    <row r="101" ht="30" customHeight="1">
      <c r="A101" s="6" t="n"/>
      <c r="B101" s="6" t="n"/>
      <c r="C101" s="6" t="n"/>
      <c r="D101" s="6" t="n"/>
      <c r="E101" s="10" t="n"/>
      <c r="F101" s="6" t="n"/>
      <c r="G101" s="10" t="n"/>
      <c r="H101" s="10" t="n"/>
      <c r="I101" s="6" t="n"/>
      <c r="J101" s="10" t="n"/>
      <c r="K101" s="12">
        <f>IF(OR(E101="",G101="",H101="",Shipment!$D$22=""),"",IF(H101&lt;=0,"INVALID BASIS",ROUND(E101*G101/H101,Shipment!$D$22)))</f>
        <v/>
      </c>
      <c r="L101" s="12">
        <f>IF(OR(J101="",NOT(ISNUMBER(K101))),"",ROUND(J101-K101,Shipment!$D$22))</f>
        <v/>
      </c>
      <c r="M101" s="10" t="n"/>
      <c r="N101" s="10" t="n"/>
      <c r="O101" s="6" t="n"/>
    </row>
    <row r="102" ht="30" customHeight="1">
      <c r="A102" s="5" t="n"/>
      <c r="B102" s="5" t="n"/>
      <c r="C102" s="5" t="n"/>
      <c r="D102" s="5" t="n"/>
      <c r="E102" s="11" t="n"/>
      <c r="F102" s="5" t="n"/>
      <c r="G102" s="11" t="n"/>
      <c r="H102" s="11" t="n"/>
      <c r="I102" s="5" t="n"/>
      <c r="J102" s="11" t="n"/>
      <c r="K102" s="12">
        <f>IF(OR(E102="",G102="",H102="",Shipment!$D$22=""),"",IF(H102&lt;=0,"INVALID BASIS",ROUND(E102*G102/H102,Shipment!$D$22)))</f>
        <v/>
      </c>
      <c r="L102" s="12">
        <f>IF(OR(J102="",NOT(ISNUMBER(K102))),"",ROUND(J102-K102,Shipment!$D$22))</f>
        <v/>
      </c>
      <c r="M102" s="11" t="n"/>
      <c r="N102" s="11" t="n"/>
      <c r="O102" s="5" t="n"/>
    </row>
    <row r="103" ht="30" customHeight="1">
      <c r="A103" s="6" t="n"/>
      <c r="B103" s="6" t="n"/>
      <c r="C103" s="6" t="n"/>
      <c r="D103" s="6" t="n"/>
      <c r="E103" s="10" t="n"/>
      <c r="F103" s="6" t="n"/>
      <c r="G103" s="10" t="n"/>
      <c r="H103" s="10" t="n"/>
      <c r="I103" s="6" t="n"/>
      <c r="J103" s="10" t="n"/>
      <c r="K103" s="12">
        <f>IF(OR(E103="",G103="",H103="",Shipment!$D$22=""),"",IF(H103&lt;=0,"INVALID BASIS",ROUND(E103*G103/H103,Shipment!$D$22)))</f>
        <v/>
      </c>
      <c r="L103" s="12">
        <f>IF(OR(J103="",NOT(ISNUMBER(K103))),"",ROUND(J103-K103,Shipment!$D$22))</f>
        <v/>
      </c>
      <c r="M103" s="10" t="n"/>
      <c r="N103" s="10" t="n"/>
      <c r="O103" s="6" t="n"/>
    </row>
    <row r="104" ht="30" customHeight="1">
      <c r="A104" s="5" t="n"/>
      <c r="B104" s="5" t="n"/>
      <c r="C104" s="5" t="n"/>
      <c r="D104" s="5" t="n"/>
      <c r="E104" s="11" t="n"/>
      <c r="F104" s="5" t="n"/>
      <c r="G104" s="11" t="n"/>
      <c r="H104" s="11" t="n"/>
      <c r="I104" s="5" t="n"/>
      <c r="J104" s="11" t="n"/>
      <c r="K104" s="12">
        <f>IF(OR(E104="",G104="",H104="",Shipment!$D$22=""),"",IF(H104&lt;=0,"INVALID BASIS",ROUND(E104*G104/H104,Shipment!$D$22)))</f>
        <v/>
      </c>
      <c r="L104" s="12">
        <f>IF(OR(J104="",NOT(ISNUMBER(K104))),"",ROUND(J104-K104,Shipment!$D$22))</f>
        <v/>
      </c>
      <c r="M104" s="11" t="n"/>
      <c r="N104" s="11" t="n"/>
      <c r="O104" s="5" t="n"/>
    </row>
    <row r="105" ht="30" customHeight="1">
      <c r="A105" s="6" t="n"/>
      <c r="B105" s="6" t="n"/>
      <c r="C105" s="6" t="n"/>
      <c r="D105" s="6" t="n"/>
      <c r="E105" s="10" t="n"/>
      <c r="F105" s="6" t="n"/>
      <c r="G105" s="10" t="n"/>
      <c r="H105" s="10" t="n"/>
      <c r="I105" s="6" t="n"/>
      <c r="J105" s="10" t="n"/>
      <c r="K105" s="12">
        <f>IF(OR(E105="",G105="",H105="",Shipment!$D$22=""),"",IF(H105&lt;=0,"INVALID BASIS",ROUND(E105*G105/H105,Shipment!$D$22)))</f>
        <v/>
      </c>
      <c r="L105" s="12">
        <f>IF(OR(J105="",NOT(ISNUMBER(K105))),"",ROUND(J105-K105,Shipment!$D$22))</f>
        <v/>
      </c>
      <c r="M105" s="10" t="n"/>
      <c r="N105" s="10" t="n"/>
      <c r="O10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5:O105"/>
  <mergeCells count="3">
    <mergeCell ref="A1:O1"/>
    <mergeCell ref="A3:O3"/>
    <mergeCell ref="A2:O2"/>
  </mergeCells>
  <pageMargins left="0.75" right="0.75" top="1" bottom="1" header="0.5" footer="0.5"/>
  <pageSetup orientation="landscape" paperSize="8" fitToHeight="0" fitToWidth="1"/>
  <headerFooter>
    <oddHeader/>
    <oddFooter>&amp;CInternal review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8" customWidth="1" min="4" max="4"/>
    <col width="55" customWidth="1" min="5" max="5"/>
    <col width="35" customWidth="1" min="6" max="6"/>
  </cols>
  <sheetData>
    <row r="1" ht="38" customHeight="1">
      <c r="A1" s="1" t="inlineStr">
        <is>
          <t>PRECHECK  /  CONTAINERS</t>
        </is>
      </c>
    </row>
    <row r="2" ht="25" customHeight="1">
      <c r="A2" s="2" t="inlineStr">
        <is>
          <t>Internal reconciliation · blank template · not a customs declaration</t>
        </is>
      </c>
    </row>
    <row r="3">
      <c r="A3" s="3" t="inlineStr">
        <is>
          <t>Template internal-review-v1  |  Mapping internal-review-map-v1  |  Policy business-v1</t>
        </is>
      </c>
    </row>
    <row r="5" ht="32" customHeight="1">
      <c r="A5" s="4" t="inlineStr">
        <is>
          <t>Container ID</t>
        </is>
      </c>
      <c r="B5" s="4" t="inlineStr">
        <is>
          <t>Seal ID</t>
        </is>
      </c>
      <c r="C5" s="4" t="inlineStr">
        <is>
          <t>sealed or not_sealed</t>
        </is>
      </c>
      <c r="D5" s="4" t="inlineStr">
        <is>
          <t>Transport leg</t>
        </is>
      </c>
      <c r="E5" s="4" t="inlineStr">
        <is>
          <t>Document and page</t>
        </is>
      </c>
      <c r="F5" s="4" t="inlineStr">
        <is>
          <t>Seal exception decision</t>
        </is>
      </c>
    </row>
    <row r="6" ht="30" customHeight="1">
      <c r="A6" s="5" t="n"/>
      <c r="B6" s="5" t="n"/>
      <c r="C6" s="5" t="n"/>
      <c r="D6" s="5" t="n"/>
      <c r="E6" s="5" t="n"/>
      <c r="F6" s="5" t="n"/>
    </row>
    <row r="7" ht="30" customHeight="1">
      <c r="A7" s="6" t="n"/>
      <c r="B7" s="6" t="n"/>
      <c r="C7" s="6" t="n"/>
      <c r="D7" s="6" t="n"/>
      <c r="E7" s="6" t="n"/>
      <c r="F7" s="6" t="n"/>
    </row>
    <row r="8" ht="30" customHeight="1">
      <c r="A8" s="5" t="n"/>
      <c r="B8" s="5" t="n"/>
      <c r="C8" s="5" t="n"/>
      <c r="D8" s="5" t="n"/>
      <c r="E8" s="5" t="n"/>
      <c r="F8" s="5" t="n"/>
    </row>
    <row r="9" ht="30" customHeight="1">
      <c r="A9" s="6" t="n"/>
      <c r="B9" s="6" t="n"/>
      <c r="C9" s="6" t="n"/>
      <c r="D9" s="6" t="n"/>
      <c r="E9" s="6" t="n"/>
      <c r="F9" s="6" t="n"/>
    </row>
    <row r="10" ht="30" customHeight="1">
      <c r="A10" s="5" t="n"/>
      <c r="B10" s="5" t="n"/>
      <c r="C10" s="5" t="n"/>
      <c r="D10" s="5" t="n"/>
      <c r="E10" s="5" t="n"/>
      <c r="F10" s="5" t="n"/>
    </row>
    <row r="11" ht="30" customHeight="1">
      <c r="A11" s="6" t="n"/>
      <c r="B11" s="6" t="n"/>
      <c r="C11" s="6" t="n"/>
      <c r="D11" s="6" t="n"/>
      <c r="E11" s="6" t="n"/>
      <c r="F11" s="6" t="n"/>
    </row>
    <row r="12" ht="30" customHeight="1">
      <c r="A12" s="5" t="n"/>
      <c r="B12" s="5" t="n"/>
      <c r="C12" s="5" t="n"/>
      <c r="D12" s="5" t="n"/>
      <c r="E12" s="5" t="n"/>
      <c r="F12" s="5" t="n"/>
    </row>
    <row r="13" ht="30" customHeight="1">
      <c r="A13" s="6" t="n"/>
      <c r="B13" s="6" t="n"/>
      <c r="C13" s="6" t="n"/>
      <c r="D13" s="6" t="n"/>
      <c r="E13" s="6" t="n"/>
      <c r="F13" s="6" t="n"/>
    </row>
    <row r="14" ht="30" customHeight="1">
      <c r="A14" s="5" t="n"/>
      <c r="B14" s="5" t="n"/>
      <c r="C14" s="5" t="n"/>
      <c r="D14" s="5" t="n"/>
      <c r="E14" s="5" t="n"/>
      <c r="F14" s="5" t="n"/>
    </row>
    <row r="15" ht="30" customHeight="1">
      <c r="A15" s="6" t="n"/>
      <c r="B15" s="6" t="n"/>
      <c r="C15" s="6" t="n"/>
      <c r="D15" s="6" t="n"/>
      <c r="E15" s="6" t="n"/>
      <c r="F15" s="6" t="n"/>
    </row>
    <row r="16" ht="30" customHeight="1">
      <c r="A16" s="5" t="n"/>
      <c r="B16" s="5" t="n"/>
      <c r="C16" s="5" t="n"/>
      <c r="D16" s="5" t="n"/>
      <c r="E16" s="5" t="n"/>
      <c r="F16" s="5" t="n"/>
    </row>
    <row r="17" ht="30" customHeight="1">
      <c r="A17" s="6" t="n"/>
      <c r="B17" s="6" t="n"/>
      <c r="C17" s="6" t="n"/>
      <c r="D17" s="6" t="n"/>
      <c r="E17" s="6" t="n"/>
      <c r="F17" s="6" t="n"/>
    </row>
    <row r="18" ht="30" customHeight="1">
      <c r="A18" s="5" t="n"/>
      <c r="B18" s="5" t="n"/>
      <c r="C18" s="5" t="n"/>
      <c r="D18" s="5" t="n"/>
      <c r="E18" s="5" t="n"/>
      <c r="F18" s="5" t="n"/>
    </row>
    <row r="19" ht="30" customHeight="1">
      <c r="A19" s="6" t="n"/>
      <c r="B19" s="6" t="n"/>
      <c r="C19" s="6" t="n"/>
      <c r="D19" s="6" t="n"/>
      <c r="E19" s="6" t="n"/>
      <c r="F19" s="6" t="n"/>
    </row>
    <row r="20" ht="30" customHeight="1">
      <c r="A20" s="5" t="n"/>
      <c r="B20" s="5" t="n"/>
      <c r="C20" s="5" t="n"/>
      <c r="D20" s="5" t="n"/>
      <c r="E20" s="5" t="n"/>
      <c r="F20" s="5" t="n"/>
    </row>
    <row r="21" ht="30" customHeight="1">
      <c r="A21" s="6" t="n"/>
      <c r="B21" s="6" t="n"/>
      <c r="C21" s="6" t="n"/>
      <c r="D21" s="6" t="n"/>
      <c r="E21" s="6" t="n"/>
      <c r="F21" s="6" t="n"/>
    </row>
    <row r="22" ht="30" customHeight="1">
      <c r="A22" s="5" t="n"/>
      <c r="B22" s="5" t="n"/>
      <c r="C22" s="5" t="n"/>
      <c r="D22" s="5" t="n"/>
      <c r="E22" s="5" t="n"/>
      <c r="F22" s="5" t="n"/>
    </row>
    <row r="23" ht="30" customHeight="1">
      <c r="A23" s="6" t="n"/>
      <c r="B23" s="6" t="n"/>
      <c r="C23" s="6" t="n"/>
      <c r="D23" s="6" t="n"/>
      <c r="E23" s="6" t="n"/>
      <c r="F23" s="6" t="n"/>
    </row>
    <row r="24" ht="30" customHeight="1">
      <c r="A24" s="5" t="n"/>
      <c r="B24" s="5" t="n"/>
      <c r="C24" s="5" t="n"/>
      <c r="D24" s="5" t="n"/>
      <c r="E24" s="5" t="n"/>
      <c r="F24" s="5" t="n"/>
    </row>
    <row r="25" ht="30" customHeight="1">
      <c r="A25" s="6" t="n"/>
      <c r="B25" s="6" t="n"/>
      <c r="C25" s="6" t="n"/>
      <c r="D25" s="6" t="n"/>
      <c r="E25" s="6" t="n"/>
      <c r="F25" s="6" t="n"/>
    </row>
    <row r="26" ht="30" customHeight="1">
      <c r="A26" s="5" t="n"/>
      <c r="B26" s="5" t="n"/>
      <c r="C26" s="5" t="n"/>
      <c r="D26" s="5" t="n"/>
      <c r="E26" s="5" t="n"/>
      <c r="F26" s="5" t="n"/>
    </row>
    <row r="27" ht="30" customHeight="1">
      <c r="A27" s="6" t="n"/>
      <c r="B27" s="6" t="n"/>
      <c r="C27" s="6" t="n"/>
      <c r="D27" s="6" t="n"/>
      <c r="E27" s="6" t="n"/>
      <c r="F27" s="6" t="n"/>
    </row>
    <row r="28" ht="30" customHeight="1">
      <c r="A28" s="5" t="n"/>
      <c r="B28" s="5" t="n"/>
      <c r="C28" s="5" t="n"/>
      <c r="D28" s="5" t="n"/>
      <c r="E28" s="5" t="n"/>
      <c r="F28" s="5" t="n"/>
    </row>
    <row r="29" ht="30" customHeight="1">
      <c r="A29" s="6" t="n"/>
      <c r="B29" s="6" t="n"/>
      <c r="C29" s="6" t="n"/>
      <c r="D29" s="6" t="n"/>
      <c r="E29" s="6" t="n"/>
      <c r="F29" s="6" t="n"/>
    </row>
    <row r="30" ht="30" customHeight="1">
      <c r="A30" s="5" t="n"/>
      <c r="B30" s="5" t="n"/>
      <c r="C30" s="5" t="n"/>
      <c r="D30" s="5" t="n"/>
      <c r="E30" s="5" t="n"/>
      <c r="F30" s="5" t="n"/>
    </row>
    <row r="31" ht="30" customHeight="1">
      <c r="A31" s="6" t="n"/>
      <c r="B31" s="6" t="n"/>
      <c r="C31" s="6" t="n"/>
      <c r="D31" s="6" t="n"/>
      <c r="E31" s="6" t="n"/>
      <c r="F31" s="6" t="n"/>
    </row>
    <row r="32" ht="30" customHeight="1">
      <c r="A32" s="5" t="n"/>
      <c r="B32" s="5" t="n"/>
      <c r="C32" s="5" t="n"/>
      <c r="D32" s="5" t="n"/>
      <c r="E32" s="5" t="n"/>
      <c r="F32" s="5" t="n"/>
    </row>
    <row r="33" ht="30" customHeight="1">
      <c r="A33" s="6" t="n"/>
      <c r="B33" s="6" t="n"/>
      <c r="C33" s="6" t="n"/>
      <c r="D33" s="6" t="n"/>
      <c r="E33" s="6" t="n"/>
      <c r="F33" s="6" t="n"/>
    </row>
    <row r="34" ht="30" customHeight="1">
      <c r="A34" s="5" t="n"/>
      <c r="B34" s="5" t="n"/>
      <c r="C34" s="5" t="n"/>
      <c r="D34" s="5" t="n"/>
      <c r="E34" s="5" t="n"/>
      <c r="F34" s="5" t="n"/>
    </row>
    <row r="35" ht="30" customHeight="1">
      <c r="A35" s="6" t="n"/>
      <c r="B35" s="6" t="n"/>
      <c r="C35" s="6" t="n"/>
      <c r="D35" s="6" t="n"/>
      <c r="E35" s="6" t="n"/>
      <c r="F35" s="6" t="n"/>
    </row>
    <row r="36" ht="30" customHeight="1">
      <c r="A36" s="5" t="n"/>
      <c r="B36" s="5" t="n"/>
      <c r="C36" s="5" t="n"/>
      <c r="D36" s="5" t="n"/>
      <c r="E36" s="5" t="n"/>
      <c r="F36" s="5" t="n"/>
    </row>
    <row r="37" ht="30" customHeight="1">
      <c r="A37" s="6" t="n"/>
      <c r="B37" s="6" t="n"/>
      <c r="C37" s="6" t="n"/>
      <c r="D37" s="6" t="n"/>
      <c r="E37" s="6" t="n"/>
      <c r="F37" s="6" t="n"/>
    </row>
    <row r="38" ht="30" customHeight="1">
      <c r="A38" s="5" t="n"/>
      <c r="B38" s="5" t="n"/>
      <c r="C38" s="5" t="n"/>
      <c r="D38" s="5" t="n"/>
      <c r="E38" s="5" t="n"/>
      <c r="F38" s="5" t="n"/>
    </row>
    <row r="39" ht="30" customHeight="1">
      <c r="A39" s="6" t="n"/>
      <c r="B39" s="6" t="n"/>
      <c r="C39" s="6" t="n"/>
      <c r="D39" s="6" t="n"/>
      <c r="E39" s="6" t="n"/>
      <c r="F39" s="6" t="n"/>
    </row>
    <row r="40" ht="30" customHeight="1">
      <c r="A40" s="5" t="n"/>
      <c r="B40" s="5" t="n"/>
      <c r="C40" s="5" t="n"/>
      <c r="D40" s="5" t="n"/>
      <c r="E40" s="5" t="n"/>
      <c r="F40" s="5" t="n"/>
    </row>
    <row r="41" ht="30" customHeight="1">
      <c r="A41" s="6" t="n"/>
      <c r="B41" s="6" t="n"/>
      <c r="C41" s="6" t="n"/>
      <c r="D41" s="6" t="n"/>
      <c r="E41" s="6" t="n"/>
      <c r="F41" s="6" t="n"/>
    </row>
    <row r="42" ht="30" customHeight="1">
      <c r="A42" s="5" t="n"/>
      <c r="B42" s="5" t="n"/>
      <c r="C42" s="5" t="n"/>
      <c r="D42" s="5" t="n"/>
      <c r="E42" s="5" t="n"/>
      <c r="F42" s="5" t="n"/>
    </row>
    <row r="43" ht="30" customHeight="1">
      <c r="A43" s="6" t="n"/>
      <c r="B43" s="6" t="n"/>
      <c r="C43" s="6" t="n"/>
      <c r="D43" s="6" t="n"/>
      <c r="E43" s="6" t="n"/>
      <c r="F43" s="6" t="n"/>
    </row>
    <row r="44" ht="30" customHeight="1">
      <c r="A44" s="5" t="n"/>
      <c r="B44" s="5" t="n"/>
      <c r="C44" s="5" t="n"/>
      <c r="D44" s="5" t="n"/>
      <c r="E44" s="5" t="n"/>
      <c r="F44" s="5" t="n"/>
    </row>
    <row r="45" ht="30" customHeight="1">
      <c r="A45" s="6" t="n"/>
      <c r="B45" s="6" t="n"/>
      <c r="C45" s="6" t="n"/>
      <c r="D45" s="6" t="n"/>
      <c r="E45" s="6" t="n"/>
      <c r="F45" s="6" t="n"/>
    </row>
    <row r="46" ht="30" customHeight="1">
      <c r="A46" s="5" t="n"/>
      <c r="B46" s="5" t="n"/>
      <c r="C46" s="5" t="n"/>
      <c r="D46" s="5" t="n"/>
      <c r="E46" s="5" t="n"/>
      <c r="F46" s="5" t="n"/>
    </row>
    <row r="47" ht="30" customHeight="1">
      <c r="A47" s="6" t="n"/>
      <c r="B47" s="6" t="n"/>
      <c r="C47" s="6" t="n"/>
      <c r="D47" s="6" t="n"/>
      <c r="E47" s="6" t="n"/>
      <c r="F47" s="6" t="n"/>
    </row>
    <row r="48" ht="30" customHeight="1">
      <c r="A48" s="5" t="n"/>
      <c r="B48" s="5" t="n"/>
      <c r="C48" s="5" t="n"/>
      <c r="D48" s="5" t="n"/>
      <c r="E48" s="5" t="n"/>
      <c r="F48" s="5" t="n"/>
    </row>
    <row r="49" ht="30" customHeight="1">
      <c r="A49" s="6" t="n"/>
      <c r="B49" s="6" t="n"/>
      <c r="C49" s="6" t="n"/>
      <c r="D49" s="6" t="n"/>
      <c r="E49" s="6" t="n"/>
      <c r="F49" s="6" t="n"/>
    </row>
    <row r="50" ht="30" customHeight="1">
      <c r="A50" s="5" t="n"/>
      <c r="B50" s="5" t="n"/>
      <c r="C50" s="5" t="n"/>
      <c r="D50" s="5" t="n"/>
      <c r="E50" s="5" t="n"/>
      <c r="F50" s="5" t="n"/>
    </row>
    <row r="51" ht="30" customHeight="1">
      <c r="A51" s="6" t="n"/>
      <c r="B51" s="6" t="n"/>
      <c r="C51" s="6" t="n"/>
      <c r="D51" s="6" t="n"/>
      <c r="E51" s="6" t="n"/>
      <c r="F51" s="6" t="n"/>
    </row>
    <row r="52" ht="30" customHeight="1">
      <c r="A52" s="5" t="n"/>
      <c r="B52" s="5" t="n"/>
      <c r="C52" s="5" t="n"/>
      <c r="D52" s="5" t="n"/>
      <c r="E52" s="5" t="n"/>
      <c r="F52" s="5" t="n"/>
    </row>
    <row r="53" ht="30" customHeight="1">
      <c r="A53" s="6" t="n"/>
      <c r="B53" s="6" t="n"/>
      <c r="C53" s="6" t="n"/>
      <c r="D53" s="6" t="n"/>
      <c r="E53" s="6" t="n"/>
      <c r="F53" s="6" t="n"/>
    </row>
    <row r="54" ht="30" customHeight="1">
      <c r="A54" s="5" t="n"/>
      <c r="B54" s="5" t="n"/>
      <c r="C54" s="5" t="n"/>
      <c r="D54" s="5" t="n"/>
      <c r="E54" s="5" t="n"/>
      <c r="F54" s="5" t="n"/>
    </row>
    <row r="55" ht="30" customHeight="1">
      <c r="A55" s="6" t="n"/>
      <c r="B55" s="6" t="n"/>
      <c r="C55" s="6" t="n"/>
      <c r="D55" s="6" t="n"/>
      <c r="E55" s="6" t="n"/>
      <c r="F55" s="6" t="n"/>
    </row>
  </sheetData>
  <autoFilter ref="A5:F55"/>
  <mergeCells count="3">
    <mergeCell ref="A3:F3"/>
    <mergeCell ref="A2:F2"/>
    <mergeCell ref="A1:F1"/>
  </mergeCells>
  <pageMargins left="0.75" right="0.75" top="1" bottom="1" header="0.5" footer="0.5"/>
  <pageSetup orientation="landscape" paperSize="8" fitToHeight="0" fitToWidth="1"/>
  <headerFooter>
    <oddHeader/>
    <oddFooter>&amp;CInternal review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  <col width="24" customWidth="1" min="4" max="4"/>
    <col width="35" customWidth="1" min="5" max="5"/>
    <col width="50" customWidth="1" min="6" max="6"/>
    <col width="40" customWidth="1" min="7" max="7"/>
    <col width="18" customWidth="1" min="8" max="8"/>
    <col width="45" customWidth="1" min="9" max="9"/>
    <col width="28" customWidth="1" min="10" max="10"/>
    <col width="28" customWidth="1" min="11" max="11"/>
  </cols>
  <sheetData>
    <row r="1" ht="38" customHeight="1">
      <c r="A1" s="1" t="inlineStr">
        <is>
          <t>PRECHECK  /  EVIDENCE</t>
        </is>
      </c>
    </row>
    <row r="2" ht="25" customHeight="1">
      <c r="A2" s="2" t="inlineStr">
        <is>
          <t>Internal reconciliation · blank template · not a customs declaration</t>
        </is>
      </c>
    </row>
    <row r="3">
      <c r="A3" s="3" t="inlineStr">
        <is>
          <t>Template internal-review-v1  |  Mapping internal-review-map-v1  |  Policy business-v1</t>
        </is>
      </c>
    </row>
    <row r="5" ht="32" customHeight="1">
      <c r="A5" s="4" t="inlineStr">
        <is>
          <t>Selected field path</t>
        </is>
      </c>
      <c r="B5" s="4" t="inlineStr">
        <is>
          <t>Observation or reference ID</t>
        </is>
      </c>
      <c r="C5" s="4" t="inlineStr">
        <is>
          <t>Document ID</t>
        </is>
      </c>
      <c r="D5" s="4" t="inlineStr">
        <is>
          <t>Logical document type</t>
        </is>
      </c>
      <c r="E5" s="4" t="inlineStr">
        <is>
          <t>Page and source location</t>
        </is>
      </c>
      <c r="F5" s="4" t="inlineStr">
        <is>
          <t>Raw source value</t>
        </is>
      </c>
      <c r="G5" s="4" t="inlineStr">
        <is>
          <t>Normalized value</t>
        </is>
      </c>
      <c r="H5" s="4" t="inlineStr">
        <is>
          <t>Unit or currency</t>
        </is>
      </c>
      <c r="I5" s="4" t="inlineStr">
        <is>
          <t>External reference and version</t>
        </is>
      </c>
      <c r="J5" s="4" t="inlineStr">
        <is>
          <t>Verifier identity</t>
        </is>
      </c>
      <c r="K5" s="4" t="inlineStr">
        <is>
          <t>Verified at UTC</t>
        </is>
      </c>
    </row>
    <row r="6" ht="3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3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3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3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3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3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3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3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3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3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 ht="3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3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3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3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 ht="3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3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 ht="3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3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 ht="3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3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 ht="3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 ht="3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 ht="3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3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 ht="3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3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 ht="3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30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 ht="3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30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 ht="3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30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 ht="3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30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 ht="3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30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 ht="3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30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 ht="3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30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 ht="3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30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 ht="3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30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 ht="3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30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 ht="3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 ht="30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 ht="3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 ht="30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 ht="3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30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 ht="3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30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 ht="3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30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 ht="3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30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 ht="3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30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 ht="3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30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 ht="3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 ht="30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 ht="3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 ht="30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 ht="3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 ht="30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 ht="3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 ht="30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 ht="3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 ht="30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 ht="3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 ht="30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 ht="3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30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 ht="3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 ht="30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 ht="3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30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 ht="3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 ht="30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 ht="3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30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 ht="3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 ht="30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 ht="3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 ht="30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 ht="3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 ht="30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 ht="3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 ht="30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 ht="3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 ht="30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 ht="3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 ht="30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 ht="3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30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</row>
    <row r="106" ht="3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 ht="30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</row>
    <row r="108" ht="3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 ht="30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</row>
    <row r="110" ht="3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 ht="30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</row>
    <row r="112" ht="3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 ht="30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</row>
    <row r="114" ht="3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 ht="30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</row>
    <row r="116" ht="3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 ht="30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</row>
    <row r="118" ht="3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 ht="30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</row>
    <row r="120" ht="3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 ht="30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</row>
    <row r="122" ht="3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 ht="30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</row>
    <row r="124" ht="3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 ht="30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</row>
    <row r="126" ht="3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30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</row>
    <row r="128" ht="3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 ht="30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</row>
    <row r="130" ht="3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 ht="30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</row>
    <row r="132" ht="3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 ht="30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</row>
    <row r="134" ht="3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 ht="30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</row>
    <row r="136" ht="3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 ht="30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</row>
    <row r="138" ht="3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 ht="30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</row>
    <row r="140" ht="3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 ht="30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</row>
    <row r="142" ht="3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 ht="30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</row>
    <row r="144" ht="3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 ht="30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</row>
    <row r="146" ht="3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 ht="30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</row>
    <row r="148" ht="3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30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</row>
    <row r="150" ht="3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 ht="30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</row>
    <row r="152" ht="3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 ht="30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</row>
    <row r="154" ht="3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 ht="30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</row>
    <row r="156" ht="3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 ht="30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</row>
    <row r="158" ht="3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 ht="30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</row>
    <row r="160" ht="3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 ht="30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</row>
    <row r="162" ht="3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 ht="30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</row>
    <row r="164" ht="3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 ht="30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</row>
    <row r="166" ht="3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 ht="30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</row>
    <row r="168" ht="3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 ht="30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</row>
    <row r="170" ht="3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30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</row>
    <row r="172" ht="3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 ht="30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</row>
    <row r="174" ht="3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 ht="30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</row>
    <row r="176" ht="3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 ht="30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</row>
    <row r="178" ht="3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 ht="30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</row>
    <row r="180" ht="3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 ht="30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</row>
    <row r="182" ht="3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 ht="30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</row>
    <row r="184" ht="3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 ht="30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</row>
    <row r="186" ht="3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 ht="30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</row>
    <row r="188" ht="3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 ht="30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</row>
    <row r="190" ht="3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 ht="30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</row>
    <row r="192" ht="3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30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</row>
    <row r="194" ht="3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 ht="30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</row>
    <row r="196" ht="3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 ht="30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</row>
    <row r="198" ht="3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30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</row>
    <row r="200" ht="3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 ht="30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</row>
    <row r="202" ht="3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 ht="30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</row>
    <row r="204" ht="3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 ht="30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</row>
    <row r="206" ht="3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 ht="30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</row>
    <row r="208" ht="3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 ht="30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</row>
    <row r="210" ht="3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 ht="30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</row>
    <row r="212" ht="3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 ht="30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</row>
    <row r="214" ht="3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30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</row>
    <row r="216" ht="3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 ht="30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</row>
    <row r="218" ht="3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 ht="30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</row>
    <row r="220" ht="3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 ht="30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</row>
    <row r="222" ht="3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 ht="30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</row>
    <row r="224" ht="3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 ht="30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</row>
    <row r="226" ht="3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 ht="30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</row>
    <row r="228" ht="3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 ht="30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</row>
    <row r="230" ht="3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 ht="30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</row>
    <row r="232" ht="3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 ht="30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</row>
    <row r="234" ht="3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 ht="30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</row>
    <row r="236" ht="3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 ht="30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</row>
    <row r="238" ht="3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 ht="30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</row>
    <row r="240" ht="3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 ht="30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</row>
    <row r="242" ht="3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 ht="30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</row>
    <row r="244" ht="3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 ht="30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</row>
    <row r="246" ht="3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ht="30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</row>
    <row r="248" ht="3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ht="30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</row>
    <row r="250" ht="3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ht="30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</row>
    <row r="252" ht="3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ht="30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</row>
    <row r="254" ht="3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ht="30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</row>
    <row r="256" ht="3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ht="30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</row>
    <row r="258" ht="3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ht="30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</row>
    <row r="260" ht="3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ht="30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</row>
    <row r="262" ht="3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ht="30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</row>
    <row r="264" ht="3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ht="30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</row>
    <row r="266" ht="3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ht="30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</row>
    <row r="268" ht="3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ht="30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</row>
    <row r="270" ht="3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ht="30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</row>
    <row r="272" ht="3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ht="30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</row>
    <row r="274" ht="3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ht="30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</row>
    <row r="276" ht="3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30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</row>
    <row r="278" ht="3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30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</row>
    <row r="280" ht="3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30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</row>
    <row r="282" ht="3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30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</row>
    <row r="284" ht="3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30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</row>
    <row r="286" ht="3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30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</row>
    <row r="288" ht="3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30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</row>
    <row r="290" ht="3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30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</row>
    <row r="292" ht="3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30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</row>
    <row r="294" ht="3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30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</row>
    <row r="296" ht="3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30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</row>
    <row r="298" ht="3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30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</row>
    <row r="300" ht="3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30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</row>
    <row r="302" ht="3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30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</row>
    <row r="304" ht="3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ht="30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</row>
    <row r="306" ht="3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ht="30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</row>
    <row r="308" ht="3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30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</row>
    <row r="310" ht="3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30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</row>
    <row r="312" ht="3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30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</row>
    <row r="314" ht="3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ht="30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</row>
    <row r="316" ht="3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ht="30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</row>
    <row r="318" ht="3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ht="30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</row>
    <row r="320" ht="3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ht="30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</row>
    <row r="322" ht="3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ht="30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</row>
    <row r="324" ht="3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ht="30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</row>
    <row r="326" ht="3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ht="30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</row>
    <row r="328" ht="3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ht="30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</row>
    <row r="330" ht="3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ht="30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</row>
    <row r="332" ht="3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ht="30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</row>
    <row r="334" ht="3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ht="30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</row>
    <row r="336" ht="3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ht="30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</row>
    <row r="338" ht="3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ht="30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</row>
    <row r="340" ht="3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ht="30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</row>
    <row r="342" ht="3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ht="30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</row>
    <row r="344" ht="3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ht="30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</row>
    <row r="346" ht="3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ht="30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</row>
    <row r="348" ht="3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ht="30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</row>
    <row r="350" ht="3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ht="30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</row>
    <row r="352" ht="3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ht="30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</row>
    <row r="354" ht="3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ht="30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</row>
    <row r="356" ht="3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ht="30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</row>
    <row r="358" ht="3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ht="30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</row>
    <row r="360" ht="3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ht="30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</row>
    <row r="362" ht="3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ht="30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</row>
    <row r="364" ht="3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ht="30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</row>
    <row r="366" ht="3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ht="30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</row>
    <row r="368" ht="3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ht="30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</row>
    <row r="370" ht="3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ht="30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</row>
    <row r="372" ht="3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ht="30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</row>
    <row r="374" ht="3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ht="30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</row>
    <row r="376" ht="3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ht="30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</row>
    <row r="378" ht="3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ht="30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</row>
    <row r="380" ht="3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ht="30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</row>
    <row r="382" ht="3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ht="30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</row>
    <row r="384" ht="3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ht="30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</row>
    <row r="386" ht="3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ht="30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</row>
    <row r="388" ht="3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ht="30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</row>
    <row r="390" ht="3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ht="30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</row>
    <row r="392" ht="3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ht="30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</row>
    <row r="394" ht="3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ht="30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</row>
    <row r="396" ht="3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ht="30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</row>
    <row r="398" ht="3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ht="30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</row>
    <row r="400" ht="3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ht="30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</row>
    <row r="402" ht="3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ht="30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</row>
    <row r="404" ht="3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ht="30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</row>
    <row r="406" ht="3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ht="30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</row>
    <row r="408" ht="3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ht="30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</row>
    <row r="410" ht="3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ht="30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</row>
    <row r="412" ht="3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ht="30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</row>
    <row r="414" ht="3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ht="30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</row>
    <row r="416" ht="3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ht="30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</row>
    <row r="418" ht="3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ht="30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</row>
    <row r="420" ht="3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ht="30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</row>
    <row r="422" ht="3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ht="30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</row>
    <row r="424" ht="3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ht="30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</row>
    <row r="426" ht="3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ht="30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</row>
    <row r="428" ht="3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ht="30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</row>
    <row r="430" ht="3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ht="30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</row>
    <row r="432" ht="3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ht="30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</row>
    <row r="434" ht="3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ht="30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</row>
    <row r="436" ht="3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ht="30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</row>
    <row r="438" ht="3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ht="30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</row>
    <row r="440" ht="3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ht="30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</row>
    <row r="442" ht="3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ht="30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</row>
    <row r="444" ht="3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ht="30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</row>
    <row r="446" ht="3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ht="30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</row>
    <row r="448" ht="3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ht="30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</row>
    <row r="450" ht="3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ht="30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</row>
    <row r="452" ht="3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ht="30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</row>
    <row r="454" ht="3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ht="30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</row>
    <row r="456" ht="3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ht="30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</row>
    <row r="458" ht="3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ht="30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</row>
    <row r="460" ht="3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ht="30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</row>
    <row r="462" ht="3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ht="30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</row>
    <row r="464" ht="3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ht="30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</row>
    <row r="466" ht="3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ht="30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</row>
    <row r="468" ht="3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ht="30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</row>
    <row r="470" ht="3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ht="30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</row>
    <row r="472" ht="3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ht="30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</row>
    <row r="474" ht="3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ht="30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</row>
    <row r="476" ht="3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ht="30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</row>
    <row r="478" ht="3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ht="30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</row>
    <row r="480" ht="3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ht="30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</row>
    <row r="482" ht="3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ht="30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</row>
    <row r="484" ht="3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ht="30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</row>
    <row r="486" ht="3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ht="30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</row>
    <row r="488" ht="3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ht="30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</row>
    <row r="490" ht="3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ht="30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</row>
    <row r="492" ht="3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ht="30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</row>
    <row r="494" ht="3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ht="30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</row>
    <row r="496" ht="3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ht="30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</row>
    <row r="498" ht="3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ht="30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</row>
    <row r="500" ht="3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ht="30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</row>
    <row r="502" ht="30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ht="30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</row>
    <row r="504" ht="30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ht="30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</row>
    <row r="506" ht="30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ht="30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</row>
    <row r="508" ht="30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ht="30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</row>
    <row r="510" ht="30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ht="30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</row>
    <row r="512" ht="30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ht="30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</row>
    <row r="514" ht="30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ht="30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</row>
    <row r="516" ht="30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ht="30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</row>
    <row r="518" ht="30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ht="30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</row>
    <row r="520" ht="30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ht="30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</row>
    <row r="522" ht="30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ht="30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</row>
    <row r="524" ht="30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ht="30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</row>
    <row r="526" ht="30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ht="30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</row>
    <row r="528" ht="30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ht="30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</row>
    <row r="530" ht="30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ht="30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</row>
    <row r="532" ht="30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ht="30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</row>
    <row r="534" ht="30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ht="30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</row>
    <row r="536" ht="30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ht="30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</row>
    <row r="538" ht="30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ht="30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</row>
    <row r="540" ht="30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ht="30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</row>
    <row r="542" ht="30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ht="30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</row>
    <row r="544" ht="30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ht="30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</row>
    <row r="546" ht="30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ht="30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</row>
    <row r="548" ht="30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ht="30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</row>
    <row r="550" ht="30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ht="30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</row>
    <row r="552" ht="30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ht="30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</row>
    <row r="554" ht="30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ht="30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</row>
    <row r="556" ht="30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ht="30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</row>
    <row r="558" ht="30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ht="30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</row>
    <row r="560" ht="30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ht="30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</row>
    <row r="562" ht="30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ht="30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</row>
    <row r="564" ht="30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ht="30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</row>
    <row r="566" ht="30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ht="30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</row>
    <row r="568" ht="30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ht="30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</row>
    <row r="570" ht="30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ht="30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</row>
    <row r="572" ht="30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ht="30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</row>
    <row r="574" ht="30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ht="30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</row>
    <row r="576" ht="30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ht="30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</row>
    <row r="578" ht="30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ht="30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</row>
    <row r="580" ht="30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ht="30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</row>
    <row r="582" ht="30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ht="30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</row>
    <row r="584" ht="30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ht="30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</row>
    <row r="586" ht="30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ht="30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</row>
    <row r="588" ht="30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ht="30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</row>
    <row r="590" ht="30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ht="30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</row>
    <row r="592" ht="30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ht="30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</row>
    <row r="594" ht="30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ht="30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</row>
    <row r="596" ht="30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ht="30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</row>
    <row r="598" ht="30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ht="30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</row>
    <row r="600" ht="30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ht="30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</row>
    <row r="602" ht="30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ht="30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</row>
    <row r="604" ht="30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ht="30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</row>
    <row r="606" ht="30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ht="30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</row>
    <row r="608" ht="30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ht="30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</row>
    <row r="610" ht="30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ht="30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</row>
    <row r="612" ht="30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ht="30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</row>
    <row r="614" ht="30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ht="30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</row>
    <row r="616" ht="30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ht="30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</row>
    <row r="618" ht="30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ht="30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</row>
    <row r="620" ht="30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ht="30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</row>
    <row r="622" ht="30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ht="30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</row>
    <row r="624" ht="30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ht="30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</row>
    <row r="626" ht="30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ht="30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</row>
    <row r="628" ht="30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ht="30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</row>
    <row r="630" ht="30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ht="30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</row>
    <row r="632" ht="30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ht="30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</row>
    <row r="634" ht="30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ht="30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</row>
    <row r="636" ht="30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ht="30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</row>
    <row r="638" ht="30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ht="30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</row>
    <row r="640" ht="30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ht="30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</row>
    <row r="642" ht="30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ht="30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</row>
    <row r="644" ht="30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ht="30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</row>
    <row r="646" ht="30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ht="30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</row>
    <row r="648" ht="30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ht="30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</row>
    <row r="650" ht="30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ht="30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</row>
    <row r="652" ht="30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ht="30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</row>
    <row r="654" ht="30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ht="30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</row>
    <row r="656" ht="30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ht="30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</row>
    <row r="658" ht="30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ht="30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</row>
    <row r="660" ht="30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ht="30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</row>
    <row r="662" ht="30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ht="30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</row>
    <row r="664" ht="30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ht="30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</row>
    <row r="666" ht="30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ht="30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</row>
    <row r="668" ht="30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ht="30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</row>
    <row r="670" ht="30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ht="30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</row>
    <row r="672" ht="30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ht="30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</row>
    <row r="674" ht="30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ht="30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</row>
    <row r="676" ht="30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ht="30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</row>
    <row r="678" ht="30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ht="30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</row>
    <row r="680" ht="30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ht="30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</row>
    <row r="682" ht="30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 ht="30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</row>
    <row r="684" ht="30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 ht="30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</row>
    <row r="686" ht="30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 ht="30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</row>
    <row r="688" ht="30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 ht="30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</row>
    <row r="690" ht="30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 ht="30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</row>
    <row r="692" ht="30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 ht="30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</row>
    <row r="694" ht="30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 ht="30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</row>
    <row r="696" ht="30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 ht="30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</row>
    <row r="698" ht="30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 ht="30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</row>
    <row r="700" ht="30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 ht="30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</row>
    <row r="702" ht="30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 ht="30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</row>
    <row r="704" ht="30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 ht="30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</row>
    <row r="706" ht="30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 ht="30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</row>
    <row r="708" ht="30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 ht="30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</row>
    <row r="710" ht="30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 ht="30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</row>
    <row r="712" ht="30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 ht="30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</row>
    <row r="714" ht="30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 ht="30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</row>
    <row r="716" ht="30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 ht="30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</row>
    <row r="718" ht="30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 ht="30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</row>
    <row r="720" ht="30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 ht="30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</row>
    <row r="722" ht="30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 ht="30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</row>
    <row r="724" ht="30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 ht="30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</row>
    <row r="726" ht="30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 ht="30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</row>
    <row r="728" ht="30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 ht="30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</row>
    <row r="730" ht="30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 ht="30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</row>
    <row r="732" ht="30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 ht="30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</row>
    <row r="734" ht="30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 ht="30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</row>
    <row r="736" ht="30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 ht="30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</row>
    <row r="738" ht="30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 ht="30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</row>
    <row r="740" ht="30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 ht="30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</row>
    <row r="742" ht="30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 ht="30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</row>
    <row r="744" ht="30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 ht="30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</row>
    <row r="746" ht="30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 ht="30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</row>
    <row r="748" ht="30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 ht="30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</row>
    <row r="750" ht="30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 ht="30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</row>
    <row r="752" ht="30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 ht="30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</row>
    <row r="754" ht="30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 ht="30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</row>
    <row r="756" ht="30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 ht="30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</row>
    <row r="758" ht="30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 ht="30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</row>
    <row r="760" ht="30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 ht="30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</row>
    <row r="762" ht="30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 ht="30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</row>
    <row r="764" ht="30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 ht="30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</row>
    <row r="766" ht="30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 ht="30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</row>
    <row r="768" ht="30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 ht="30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</row>
    <row r="770" ht="30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 ht="30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</row>
    <row r="772" ht="30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 ht="30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</row>
    <row r="774" ht="30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 ht="30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</row>
    <row r="776" ht="30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 ht="30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</row>
    <row r="778" ht="30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 ht="30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</row>
    <row r="780" ht="30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 ht="30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</row>
    <row r="782" ht="30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 ht="30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</row>
    <row r="784" ht="30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 ht="30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</row>
    <row r="786" ht="30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 ht="30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</row>
    <row r="788" ht="30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 ht="30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</row>
    <row r="790" ht="30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 ht="30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</row>
    <row r="792" ht="30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 ht="30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</row>
    <row r="794" ht="30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 ht="30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</row>
    <row r="796" ht="30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 ht="30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</row>
    <row r="798" ht="30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 ht="30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</row>
    <row r="800" ht="30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 ht="30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</row>
    <row r="802" ht="30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 ht="30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</row>
    <row r="804" ht="30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 ht="30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</row>
    <row r="806" ht="30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 ht="30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</row>
    <row r="808" ht="30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 ht="30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</row>
    <row r="810" ht="30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 ht="30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</row>
    <row r="812" ht="30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 ht="30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</row>
    <row r="814" ht="30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 ht="30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</row>
    <row r="816" ht="30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 ht="30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</row>
    <row r="818" ht="30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 ht="30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</row>
    <row r="820" ht="30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 ht="30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</row>
    <row r="822" ht="30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 ht="30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</row>
    <row r="824" ht="30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 ht="30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</row>
    <row r="826" ht="30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 ht="30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</row>
    <row r="828" ht="30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 ht="30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</row>
    <row r="830" ht="30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 ht="30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</row>
    <row r="832" ht="30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 ht="30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</row>
    <row r="834" ht="30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 ht="30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</row>
    <row r="836" ht="30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 ht="30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</row>
    <row r="838" ht="30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 ht="30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</row>
    <row r="840" ht="30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 ht="30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</row>
    <row r="842" ht="30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 ht="30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</row>
    <row r="844" ht="30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 ht="30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</row>
    <row r="846" ht="30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 ht="30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</row>
    <row r="848" ht="30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 ht="30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</row>
    <row r="850" ht="30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 ht="30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</row>
    <row r="852" ht="30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 ht="30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</row>
    <row r="854" ht="30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 ht="30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</row>
    <row r="856" ht="30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 ht="30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</row>
    <row r="858" ht="30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 ht="30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</row>
    <row r="860" ht="30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 ht="30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</row>
    <row r="862" ht="30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 ht="30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</row>
    <row r="864" ht="30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 ht="30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</row>
    <row r="866" ht="30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 ht="30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</row>
    <row r="868" ht="30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 ht="30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</row>
    <row r="870" ht="30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 ht="30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</row>
    <row r="872" ht="30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 ht="30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</row>
    <row r="874" ht="30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 ht="30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</row>
    <row r="876" ht="30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 ht="30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</row>
    <row r="878" ht="30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 ht="30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</row>
    <row r="880" ht="30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 ht="30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</row>
    <row r="882" ht="30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 ht="30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</row>
    <row r="884" ht="30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 ht="30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</row>
    <row r="886" ht="30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 ht="30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</row>
    <row r="888" ht="30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 ht="30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</row>
    <row r="890" ht="30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 ht="30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</row>
    <row r="892" ht="30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 ht="30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</row>
    <row r="894" ht="30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 ht="30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</row>
    <row r="896" ht="30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 ht="30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</row>
    <row r="898" ht="30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 ht="30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</row>
    <row r="900" ht="30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 ht="30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</row>
    <row r="902" ht="30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 ht="30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</row>
    <row r="904" ht="30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 ht="30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</row>
    <row r="906" ht="30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 ht="30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</row>
    <row r="908" ht="30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 ht="30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</row>
    <row r="910" ht="30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 ht="30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</row>
    <row r="912" ht="30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 ht="30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</row>
    <row r="914" ht="30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 ht="30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</row>
    <row r="916" ht="30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 ht="30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</row>
    <row r="918" ht="30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 ht="30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</row>
    <row r="920" ht="30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 ht="30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</row>
    <row r="922" ht="30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 ht="30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</row>
    <row r="924" ht="30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 ht="30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</row>
    <row r="926" ht="30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 ht="30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</row>
    <row r="928" ht="30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 ht="30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</row>
    <row r="930" ht="30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 ht="30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</row>
    <row r="932" ht="30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 ht="30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</row>
    <row r="934" ht="30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 ht="30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</row>
    <row r="936" ht="30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 ht="30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</row>
    <row r="938" ht="30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 ht="30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</row>
    <row r="940" ht="30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 ht="30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</row>
    <row r="942" ht="30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 ht="30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</row>
    <row r="944" ht="30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 ht="30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</row>
    <row r="946" ht="30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 ht="30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</row>
    <row r="948" ht="30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 ht="30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</row>
    <row r="950" ht="30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 ht="30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</row>
    <row r="952" ht="30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 ht="30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</row>
    <row r="954" ht="30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 ht="30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</row>
    <row r="956" ht="30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 ht="30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</row>
    <row r="958" ht="30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 ht="30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</row>
    <row r="960" ht="30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 ht="30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</row>
    <row r="962" ht="30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 ht="30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</row>
    <row r="964" ht="30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 ht="30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</row>
    <row r="966" ht="30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 ht="30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</row>
    <row r="968" ht="30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 ht="30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</row>
    <row r="970" ht="30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 ht="30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</row>
    <row r="972" ht="30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 ht="30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</row>
    <row r="974" ht="30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 ht="30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</row>
    <row r="976" ht="30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 ht="30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</row>
    <row r="978" ht="30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 ht="30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</row>
    <row r="980" ht="30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 ht="30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</row>
    <row r="982" ht="30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 ht="30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</row>
    <row r="984" ht="30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 ht="30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</row>
    <row r="986" ht="30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 ht="30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</row>
    <row r="988" ht="30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 ht="30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</row>
    <row r="990" ht="30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 ht="30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</row>
    <row r="992" ht="30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 ht="30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</row>
    <row r="994" ht="30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 ht="30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</row>
    <row r="996" ht="30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 ht="30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</row>
    <row r="998" ht="30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 ht="30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</row>
    <row r="1000" ht="30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  <row r="1001" ht="30" customHeight="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</row>
    <row r="1002" ht="30" customHeight="1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</row>
    <row r="1003" ht="30" customHeight="1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</row>
    <row r="1004" ht="30" customHeight="1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</row>
    <row r="1005" ht="30" customHeight="1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</row>
  </sheetData>
  <autoFilter ref="A5:K1005"/>
  <mergeCells count="3">
    <mergeCell ref="A2:K2"/>
    <mergeCell ref="A1:K1"/>
    <mergeCell ref="A3:K3"/>
  </mergeCells>
  <pageMargins left="0.75" right="0.75" top="1" bottom="1" header="0.5" footer="0.5"/>
  <pageSetup orientation="landscape" paperSize="8" fitToHeight="0" fitToWidth="1"/>
  <headerFooter>
    <oddHeader/>
    <oddFooter>&amp;CInternal review |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34" customWidth="1" min="3" max="3"/>
    <col width="32" customWidth="1" min="4" max="4"/>
    <col width="32" customWidth="1" min="5" max="5"/>
    <col width="40" customWidth="1" min="6" max="6"/>
    <col width="40" customWidth="1" min="7" max="7"/>
    <col width="60" customWidth="1" min="8" max="8"/>
    <col width="28" customWidth="1" min="9" max="9"/>
    <col width="28" customWidth="1" min="10" max="10"/>
    <col width="28" customWidth="1" min="11" max="11"/>
    <col width="28" customWidth="1" min="12" max="12"/>
    <col width="30" customWidth="1" min="13" max="13"/>
  </cols>
  <sheetData>
    <row r="1" ht="38" customHeight="1">
      <c r="A1" s="1" t="inlineStr">
        <is>
          <t>PRECHECK  /  DECISIONS</t>
        </is>
      </c>
    </row>
    <row r="2" ht="25" customHeight="1">
      <c r="A2" s="2" t="inlineStr">
        <is>
          <t>Internal reconciliation · blank template · not a customs declaration</t>
        </is>
      </c>
    </row>
    <row r="3">
      <c r="A3" s="3" t="inlineStr">
        <is>
          <t>Template internal-review-v1  |  Mapping internal-review-map-v1  |  Policy business-v1</t>
        </is>
      </c>
    </row>
    <row r="5" ht="32" customHeight="1">
      <c r="A5" s="4" t="inlineStr">
        <is>
          <t>Decision ID</t>
        </is>
      </c>
      <c r="B5" s="4" t="inlineStr">
        <is>
          <t>Field line or leg</t>
        </is>
      </c>
      <c r="C5" s="4" t="inlineStr">
        <is>
          <t>Reason or applicability code</t>
        </is>
      </c>
      <c r="D5" s="4" t="inlineStr">
        <is>
          <t>Previous value</t>
        </is>
      </c>
      <c r="E5" s="4" t="inlineStr">
        <is>
          <t>Selected value or applicability</t>
        </is>
      </c>
      <c r="F5" s="4" t="inlineStr">
        <is>
          <t>Previous source reference</t>
        </is>
      </c>
      <c r="G5" s="4" t="inlineStr">
        <is>
          <t>Selected supporting evidence</t>
        </is>
      </c>
      <c r="H5" s="4" t="inlineStr">
        <is>
          <t>Explanation and basis</t>
        </is>
      </c>
      <c r="I5" s="4" t="inlineStr">
        <is>
          <t>Proposed by</t>
        </is>
      </c>
      <c r="J5" s="4" t="inlineStr">
        <is>
          <t>Proposed at UTC</t>
        </is>
      </c>
      <c r="K5" s="4" t="inlineStr">
        <is>
          <t>Reviewed by</t>
        </is>
      </c>
      <c r="L5" s="4" t="inlineStr">
        <is>
          <t>Reviewed at UTC</t>
        </is>
      </c>
      <c r="M5" s="4" t="inlineStr">
        <is>
          <t>Resolution</t>
        </is>
      </c>
    </row>
    <row r="6" ht="3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 ht="3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3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 ht="3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 ht="3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 ht="3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 ht="3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3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 ht="3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 ht="3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 ht="3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 ht="3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3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 ht="3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 ht="3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 ht="3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 ht="3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 ht="3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3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3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3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3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 ht="3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 ht="3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 ht="3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 ht="3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 ht="3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30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 ht="3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 ht="30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3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 ht="30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3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 ht="30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3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 ht="30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3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 ht="30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3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 ht="30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3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 ht="30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3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 ht="30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3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 ht="30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3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 ht="30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3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 ht="30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3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 ht="30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3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 ht="30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3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 ht="30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3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 ht="30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3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 ht="30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3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 ht="30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3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 ht="30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3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 ht="30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3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 ht="30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3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 ht="30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3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 ht="30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3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 ht="30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3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 ht="30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3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 ht="30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3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 ht="30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3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 ht="30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3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 ht="30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3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 ht="30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3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 ht="30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3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 ht="30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3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 ht="30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3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 ht="30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3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 ht="30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3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 ht="30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3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 ht="30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3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 ht="30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3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 ht="30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3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 ht="30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3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 ht="30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3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 ht="30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3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 ht="30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3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 ht="30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3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 ht="30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3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 ht="30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3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 ht="30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3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 ht="30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3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 ht="30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3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 ht="30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3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 ht="30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3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 ht="30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3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 ht="30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3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 ht="30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3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 ht="30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3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 ht="30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3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 ht="30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3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 ht="30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3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 ht="30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3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 ht="30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3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 ht="30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3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 ht="30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 ht="3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 ht="30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 ht="3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 ht="30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 ht="3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 ht="30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 ht="3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 ht="30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 ht="3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 ht="30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3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 ht="30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 ht="3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 ht="30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 ht="3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 ht="30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 ht="3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 ht="30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 ht="3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 ht="30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 ht="3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 ht="30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 ht="3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 ht="30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 ht="3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 ht="30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 ht="3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 ht="30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 ht="3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 ht="30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 ht="3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 ht="30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 ht="3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 ht="30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 ht="3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 ht="30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 ht="3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 ht="30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 ht="3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 ht="30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 ht="3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 ht="30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 ht="3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 ht="30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 ht="3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</row>
    <row r="203" ht="30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 ht="3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 ht="30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</sheetData>
  <autoFilter ref="A5:M205"/>
  <mergeCells count="3">
    <mergeCell ref="A3:M3"/>
    <mergeCell ref="A2:M2"/>
    <mergeCell ref="A1:M1"/>
  </mergeCells>
  <pageMargins left="0.75" right="0.75" top="1" bottom="1" header="0.5" footer="0.5"/>
  <pageSetup orientation="landscape" paperSize="8" fitToHeight="0" fitToWidth="1"/>
  <headerFooter>
    <oddHeader/>
    <oddFooter>&amp;CInternal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2026-10-04T23:06:31Z</dcterms:created>
  <dcterms:modified xsi:type="dcterms:W3CDTF">2026-10-04T23:07:02Z</dcterms:modified>
</cp:coreProperties>
</file>